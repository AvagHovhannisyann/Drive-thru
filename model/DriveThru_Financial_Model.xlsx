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nnual" sheetId="3" state="visible" r:id="rId3"/>
    <sheet xmlns:r="http://schemas.openxmlformats.org/officeDocument/2006/relationships" name="BreakEve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M_Cons" sheetId="7" state="visible" r:id="rId7"/>
    <sheet xmlns:r="http://schemas.openxmlformats.org/officeDocument/2006/relationships" name="M_Base" sheetId="8" state="visible" r:id="rId8"/>
    <sheet xmlns:r="http://schemas.openxmlformats.org/officeDocument/2006/relationships" name="M_O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&quot;$&quot;#,##0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name val="Calibri"/>
      <b val="1"/>
    </font>
    <font>
      <name val="Calibri"/>
      <color rgb="001F4FB4"/>
    </font>
    <font>
      <b val="1"/>
      <sz val="13"/>
    </font>
    <font>
      <b val="1"/>
      <sz val="20"/>
    </font>
  </fonts>
  <fills count="5">
    <fill>
      <patternFill/>
    </fill>
    <fill>
      <patternFill patternType="gray125"/>
    </fill>
    <fill>
      <patternFill patternType="solid">
        <fgColor rgb="002B3A2F"/>
      </patternFill>
    </fill>
    <fill>
      <patternFill patternType="solid">
        <fgColor rgb="00EEE9E0"/>
      </patternFill>
    </fill>
    <fill>
      <patternFill patternType="solid">
        <fgColor rgb="00FFF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4" fillId="4" borderId="0" pivotButton="0" quotePrefix="0" xfId="0"/>
    <xf numFmtId="0" fontId="4" fillId="4" borderId="0" pivotButton="0" quotePrefix="0" xfId="0"/>
    <xf numFmtId="1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164" fontId="4" fillId="4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scenario: net sales and EBITDA (AMD)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'Annual'!$C$56:$G$56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'Annual'!$C$69:$G$69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Year-3 EBITDA: low vs high case by driver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'Sensitivity'!$A$5:$A$12</f>
            </numRef>
          </cat>
          <val>
            <numRef>
              <f>'Sensitivity'!$B$5:$B$12</f>
            </numRef>
          </val>
        </ser>
        <ser>
          <idx val="1"/>
          <order val="1"/>
          <tx>
            <strRef>
              <f>'Sensitivity'!C4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'Sensitivity'!$A$5:$A$12</f>
            </numRef>
          </cat>
          <val>
            <numRef>
              <f>'Sensitivity'!$C$5:$C$12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3" max="3"/>
    <col width="18" customWidth="1" min="4" max="4"/>
    <col width="18" customWidth="1" min="5" max="5"/>
  </cols>
  <sheetData>
    <row r="1">
      <c r="A1" s="1" t="inlineStr">
        <is>
          <t>Drive-thru — highway drive-thru: 5-year financial model</t>
        </is>
      </c>
    </row>
    <row r="3">
      <c r="A3" t="inlineStr">
        <is>
          <t>Purpose: investment decision support for the first unit (recommended mid-range concept). All values AMD, nominal, excl. VAT unless stated.</t>
        </is>
      </c>
    </row>
    <row r="4">
      <c r="A4" t="inlineStr">
        <is>
          <t>How to use: change blue cells on 'Inputs' (and 'Capex'); every other sheet recalculates. Concept switch: Inputs › concept_index.</t>
        </is>
      </c>
    </row>
    <row r="5">
      <c r="A5" t="inlineStr">
        <is>
          <t>Evidence: every input carries a status tag and source; research files are in research/. Placeholders must be replaced by fieldwork (traffic counts, quotes).</t>
        </is>
      </c>
    </row>
    <row r="7">
      <c r="A7" s="2" t="inlineStr">
        <is>
          <t>Scenario summary</t>
        </is>
      </c>
      <c r="B7" s="2" t="inlineStr"/>
      <c r="C7" s="2" t="inlineStr">
        <is>
          <t>Conservative</t>
        </is>
      </c>
      <c r="D7" s="2" t="inlineStr">
        <is>
          <t>Base</t>
        </is>
      </c>
      <c r="E7" s="2" t="inlineStr">
        <is>
          <t>Optimistic</t>
        </is>
      </c>
    </row>
    <row r="8">
      <c r="A8" t="inlineStr">
        <is>
          <t>Total investment (AMD)</t>
        </is>
      </c>
      <c r="C8" s="3">
        <f>Annual!C37</f>
        <v/>
      </c>
      <c r="D8" s="3">
        <f>Annual!C85</f>
        <v/>
      </c>
      <c r="E8" s="3">
        <f>Annual!C133</f>
        <v/>
      </c>
    </row>
    <row r="9">
      <c r="A9" t="inlineStr">
        <is>
          <t>Total investment (USD)</t>
        </is>
      </c>
      <c r="C9" s="4">
        <f>Annual!C38</f>
        <v/>
      </c>
      <c r="D9" s="4">
        <f>Annual!C86</f>
        <v/>
      </c>
      <c r="E9" s="4">
        <f>Annual!C134</f>
        <v/>
      </c>
    </row>
    <row r="10">
      <c r="A10" t="inlineStr">
        <is>
          <t>Year-1 net sales</t>
        </is>
      </c>
      <c r="C10" s="3">
        <f>Annual!C8</f>
        <v/>
      </c>
      <c r="D10" s="3">
        <f>Annual!C56</f>
        <v/>
      </c>
      <c r="E10" s="3">
        <f>Annual!C104</f>
        <v/>
      </c>
    </row>
    <row r="11">
      <c r="A11" t="inlineStr">
        <is>
          <t>Year-3 net sales</t>
        </is>
      </c>
      <c r="C11" s="3">
        <f>Annual!E8</f>
        <v/>
      </c>
      <c r="D11" s="3">
        <f>Annual!E56</f>
        <v/>
      </c>
      <c r="E11" s="3">
        <f>Annual!E104</f>
        <v/>
      </c>
    </row>
    <row r="12">
      <c r="A12" t="inlineStr">
        <is>
          <t>Year-1 transactions/day</t>
        </is>
      </c>
      <c r="C12" s="5">
        <f>Annual!C5</f>
        <v/>
      </c>
      <c r="D12" s="5">
        <f>Annual!C53</f>
        <v/>
      </c>
      <c r="E12" s="5">
        <f>Annual!C101</f>
        <v/>
      </c>
    </row>
    <row r="13">
      <c r="A13" t="inlineStr">
        <is>
          <t>Year-3 transactions/day</t>
        </is>
      </c>
      <c r="C13" s="5">
        <f>Annual!E5</f>
        <v/>
      </c>
      <c r="D13" s="5">
        <f>Annual!E53</f>
        <v/>
      </c>
      <c r="E13" s="5">
        <f>Annual!E101</f>
        <v/>
      </c>
    </row>
    <row r="14">
      <c r="A14" t="inlineStr">
        <is>
          <t>Year-1 EBITDA</t>
        </is>
      </c>
      <c r="C14" s="3">
        <f>Annual!C21</f>
        <v/>
      </c>
      <c r="D14" s="3">
        <f>Annual!C69</f>
        <v/>
      </c>
      <c r="E14" s="3">
        <f>Annual!C117</f>
        <v/>
      </c>
    </row>
    <row r="15">
      <c r="A15" t="inlineStr">
        <is>
          <t>Year-3 EBITDA</t>
        </is>
      </c>
      <c r="C15" s="3">
        <f>Annual!E21</f>
        <v/>
      </c>
      <c r="D15" s="3">
        <f>Annual!E69</f>
        <v/>
      </c>
      <c r="E15" s="3">
        <f>Annual!E117</f>
        <v/>
      </c>
    </row>
    <row r="16">
      <c r="A16" t="inlineStr">
        <is>
          <t>Year-3 EBITDA margin</t>
        </is>
      </c>
      <c r="C16" s="6">
        <f>Annual!E22</f>
        <v/>
      </c>
      <c r="D16" s="6">
        <f>Annual!E70</f>
        <v/>
      </c>
      <c r="E16" s="6">
        <f>Annual!E118</f>
        <v/>
      </c>
    </row>
    <row r="17">
      <c r="A17" t="inlineStr">
        <is>
          <t>Year-5 net income</t>
        </is>
      </c>
      <c r="C17" s="3">
        <f>Annual!G28</f>
        <v/>
      </c>
      <c r="D17" s="3">
        <f>Annual!G76</f>
        <v/>
      </c>
      <c r="E17" s="3">
        <f>Annual!G124</f>
        <v/>
      </c>
    </row>
    <row r="18">
      <c r="A18" t="inlineStr">
        <is>
          <t>Payback (months)</t>
        </is>
      </c>
      <c r="C18" s="7">
        <f>Annual!C39</f>
        <v/>
      </c>
      <c r="D18" s="7">
        <f>Annual!C87</f>
        <v/>
      </c>
      <c r="E18" s="7">
        <f>Annual!C135</f>
        <v/>
      </c>
    </row>
    <row r="19">
      <c r="A19" t="inlineStr">
        <is>
          <t>NPV (5 yrs + residual)</t>
        </is>
      </c>
      <c r="C19" s="3">
        <f>Annual!C41</f>
        <v/>
      </c>
      <c r="D19" s="3">
        <f>Annual!C89</f>
        <v/>
      </c>
      <c r="E19" s="3">
        <f>Annual!C137</f>
        <v/>
      </c>
    </row>
    <row r="20">
      <c r="A20" t="inlineStr">
        <is>
          <t>IRR (5 yrs + residual)</t>
        </is>
      </c>
      <c r="C20" s="6">
        <f>Annual!C42</f>
        <v/>
      </c>
      <c r="D20" s="6">
        <f>Annual!C90</f>
        <v/>
      </c>
      <c r="E20" s="6">
        <f>Annual!C138</f>
        <v/>
      </c>
    </row>
    <row r="21">
      <c r="A21" t="inlineStr">
        <is>
          <t>ROIC Year 3</t>
        </is>
      </c>
      <c r="C21" s="6">
        <f>Annual!C44</f>
        <v/>
      </c>
      <c r="D21" s="6">
        <f>Annual!C92</f>
        <v/>
      </c>
      <c r="E21" s="6">
        <f>Annual!C140</f>
        <v/>
      </c>
    </row>
    <row r="24">
      <c r="A24" t="inlineStr">
        <is>
          <t>Colour legend: blue = input · black = formula · cream fill = editable assumption.</t>
        </is>
      </c>
    </row>
    <row r="25">
      <c r="A25" t="inlineStr">
        <is>
          <t>Prepared 2026-10 as part of the investor package. Not investment advice; validate inputs with fieldwork before committing capital.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5" customWidth="1" min="5" max="5"/>
    <col width="15" customWidth="1" min="6" max="6"/>
    <col width="13" customWidth="1" min="7" max="7"/>
    <col width="90" customWidth="1" min="8" max="8"/>
  </cols>
  <sheetData>
    <row r="1">
      <c r="A1" s="8" t="inlineStr">
        <is>
          <t>Drive-thru — model inputs</t>
        </is>
      </c>
    </row>
    <row r="2">
      <c r="A2" t="inlineStr">
        <is>
          <t>Blue cells are inputs. Status: VERIFIED (primary source) · REPORTED (secondary) · ESTIMATE (derived) · ASSUMPTION (judgement). See research/ for evidence files.</t>
        </is>
      </c>
    </row>
    <row r="4">
      <c r="A4" s="2" t="inlineStr">
        <is>
          <t>Key</t>
        </is>
      </c>
      <c r="B4" s="2" t="inlineStr">
        <is>
          <t>Input</t>
        </is>
      </c>
      <c r="C4" s="2" t="inlineStr">
        <is>
          <t>Unit</t>
        </is>
      </c>
      <c r="D4" s="2" t="inlineStr">
        <is>
          <t>Conservative</t>
        </is>
      </c>
      <c r="E4" s="2" t="inlineStr">
        <is>
          <t>Base</t>
        </is>
      </c>
      <c r="F4" s="2" t="inlineStr">
        <is>
          <t>Optimistic</t>
        </is>
      </c>
      <c r="G4" s="2" t="inlineStr">
        <is>
          <t>Status</t>
        </is>
      </c>
      <c r="H4" s="2" t="inlineStr">
        <is>
          <t>Source / basis</t>
        </is>
      </c>
    </row>
    <row r="6">
      <c r="A6" s="9" t="inlineStr">
        <is>
          <t>General</t>
        </is>
      </c>
      <c r="B6" s="10" t="n"/>
      <c r="C6" s="10" t="n"/>
      <c r="D6" s="10" t="n"/>
      <c r="E6" s="10" t="n"/>
      <c r="F6" s="10" t="n"/>
      <c r="G6" s="10" t="n"/>
      <c r="H6" s="10" t="n"/>
    </row>
    <row r="7">
      <c r="A7" t="inlineStr">
        <is>
          <t>fx_amd_per_usd</t>
        </is>
      </c>
      <c r="B7" t="inlineStr">
        <is>
          <t>Exchange rate</t>
        </is>
      </c>
      <c r="C7" t="inlineStr">
        <is>
          <t>AMD/USD</t>
        </is>
      </c>
      <c r="D7" s="11" t="n">
        <v>385</v>
      </c>
      <c r="E7" s="11" t="n">
        <v>385</v>
      </c>
      <c r="F7" s="11" t="n">
        <v>385</v>
      </c>
      <c r="G7" t="inlineStr">
        <is>
          <t>ASSUMPTION</t>
        </is>
      </c>
      <c r="H7" t="inlineStr">
        <is>
          <t>PLACEHOLDER — replace with CBA rate</t>
        </is>
      </c>
    </row>
    <row r="8">
      <c r="A8" t="inlineStr">
        <is>
          <t>opening_month</t>
        </is>
      </c>
      <c r="B8" t="inlineStr">
        <is>
          <t>Opening calendar month</t>
        </is>
      </c>
      <c r="C8" t="inlineStr">
        <is>
          <t>month</t>
        </is>
      </c>
      <c r="D8" s="12" t="n">
        <v>5</v>
      </c>
      <c r="E8" s="12" t="n">
        <v>5</v>
      </c>
      <c r="F8" s="12" t="n">
        <v>5</v>
      </c>
      <c r="G8" t="inlineStr">
        <is>
          <t>ASSUMPTION</t>
        </is>
      </c>
      <c r="H8" t="inlineStr">
        <is>
          <t>Open in May to catch first summer season</t>
        </is>
      </c>
    </row>
    <row r="9">
      <c r="A9" t="inlineStr">
        <is>
          <t>open_days_per_year</t>
        </is>
      </c>
      <c r="B9" t="inlineStr">
        <is>
          <t>Trading days per year</t>
        </is>
      </c>
      <c r="C9" t="inlineStr">
        <is>
          <t>days</t>
        </is>
      </c>
      <c r="D9" s="12" t="n">
        <v>360</v>
      </c>
      <c r="E9" s="12" t="n">
        <v>360</v>
      </c>
      <c r="F9" s="12" t="n">
        <v>360</v>
      </c>
      <c r="G9" t="inlineStr">
        <is>
          <t>ASSUMPTION</t>
        </is>
      </c>
      <c r="H9" t="inlineStr">
        <is>
          <t>Closed ~5 days (New Year 1 Jan, Christmas 6 Jan, severe weather)</t>
        </is>
      </c>
    </row>
    <row r="10">
      <c r="A10" t="inlineStr">
        <is>
          <t>vat_rate</t>
        </is>
      </c>
      <c r="B10" t="inlineStr">
        <is>
          <t>VAT</t>
        </is>
      </c>
      <c r="C10" t="inlineStr"/>
      <c r="D10" s="13" t="n">
        <v>0.2</v>
      </c>
      <c r="E10" s="13" t="n">
        <v>0.2</v>
      </c>
      <c r="F10" s="13" t="n">
        <v>0.2</v>
      </c>
      <c r="G10" t="inlineStr">
        <is>
          <t>VERIFIED</t>
        </is>
      </c>
      <c r="H10" t="inlineStr">
        <is>
          <t>RA Tax Code art. 63</t>
        </is>
      </c>
    </row>
    <row r="11">
      <c r="A11" t="inlineStr">
        <is>
          <t>profit_tax_rate</t>
        </is>
      </c>
      <c r="B11" t="inlineStr">
        <is>
          <t>Profit tax</t>
        </is>
      </c>
      <c r="C11" t="inlineStr"/>
      <c r="D11" s="13" t="n">
        <v>0.18</v>
      </c>
      <c r="E11" s="13" t="n">
        <v>0.18</v>
      </c>
      <c r="F11" s="13" t="n">
        <v>0.18</v>
      </c>
      <c r="G11" t="inlineStr">
        <is>
          <t>VERIFIED</t>
        </is>
      </c>
      <c r="H11" t="inlineStr">
        <is>
          <t>RA Tax Code art. 115</t>
        </is>
      </c>
    </row>
    <row r="12">
      <c r="A12" t="inlineStr">
        <is>
          <t>discount_rate</t>
        </is>
      </c>
      <c r="B12" t="inlineStr">
        <is>
          <t>Discount rate (AMD)</t>
        </is>
      </c>
      <c r="C12" t="inlineStr"/>
      <c r="D12" s="13" t="n">
        <v>0.18</v>
      </c>
      <c r="E12" s="13" t="n">
        <v>0.18</v>
      </c>
      <c r="F12" s="13" t="n">
        <v>0.18</v>
      </c>
      <c r="G12" t="inlineStr">
        <is>
          <t>ASSUMPTION</t>
        </is>
      </c>
      <c r="H12" t="inlineStr">
        <is>
          <t>AMD equity hurdle: CBA policy rate ~6.75% + SME/country/start-up premium</t>
        </is>
      </c>
    </row>
    <row r="13">
      <c r="A13" t="inlineStr">
        <is>
          <t>concept_index</t>
        </is>
      </c>
      <c r="B13" t="inlineStr">
        <is>
          <t>Concept modelled (1 = Lean, 2 = Mid-range, 3 = Flagship)</t>
        </is>
      </c>
      <c r="C13" t="inlineStr">
        <is>
          <t>index</t>
        </is>
      </c>
      <c r="D13" s="12" t="n">
        <v>2</v>
      </c>
      <c r="E13" s="12" t="n">
        <v>2</v>
      </c>
      <c r="F13" s="12" t="n">
        <v>2</v>
      </c>
      <c r="G13" t="inlineStr">
        <is>
          <t>ASSUMPTION</t>
        </is>
      </c>
      <c r="H13" t="inlineStr">
        <is>
          <t>Recommended: Mid-range</t>
        </is>
      </c>
    </row>
    <row r="14">
      <c r="A14" t="inlineStr">
        <is>
          <t>land_mode_lease</t>
        </is>
      </c>
      <c r="B14" t="inlineStr">
        <is>
          <t>Land via ground lease? (1 = lease, 0 = buy)</t>
        </is>
      </c>
      <c r="C14" t="inlineStr">
        <is>
          <t>flag</t>
        </is>
      </c>
      <c r="D14" s="12" t="n">
        <v>1</v>
      </c>
      <c r="E14" s="12" t="n">
        <v>1</v>
      </c>
      <c r="F14" s="12" t="n">
        <v>1</v>
      </c>
      <c r="G14" t="inlineStr">
        <is>
          <t>ASSUMPTION</t>
        </is>
      </c>
      <c r="H14" t="inlineStr">
        <is>
          <t>Ground lease preferred for capital efficiency</t>
        </is>
      </c>
    </row>
    <row r="16">
      <c r="A16" s="9" t="inlineStr">
        <is>
          <t>Demand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t="inlineStr">
        <is>
          <t>traffic_aadt</t>
        </is>
      </c>
      <c r="B17" t="inlineStr">
        <is>
          <t>Passing traffic (AADT, two-way)</t>
        </is>
      </c>
      <c r="C17" t="inlineStr">
        <is>
          <t>veh/day two-way</t>
        </is>
      </c>
      <c r="D17" s="14" t="n">
        <v>12000</v>
      </c>
      <c r="E17" s="14" t="n">
        <v>16000</v>
      </c>
      <c r="F17" s="14" t="n">
        <v>20000</v>
      </c>
      <c r="G17" t="inlineStr">
        <is>
          <t>ASSUMPTION</t>
        </is>
      </c>
      <c r="H17" t="inlineStr">
        <is>
          <t>PLACEHOLDER</t>
        </is>
      </c>
    </row>
    <row r="18">
      <c r="A18" t="inlineStr">
        <is>
          <t>traffic_growth</t>
        </is>
      </c>
      <c r="B18" t="inlineStr">
        <is>
          <t>Traffic growth</t>
        </is>
      </c>
      <c r="C18" t="inlineStr">
        <is>
          <t>/yr</t>
        </is>
      </c>
      <c r="D18" s="13" t="n">
        <v>0.01</v>
      </c>
      <c r="E18" s="13" t="n">
        <v>0.025</v>
      </c>
      <c r="F18" s="13" t="n">
        <v>0.04</v>
      </c>
      <c r="G18" t="inlineStr">
        <is>
          <t>ASSUMPTION</t>
        </is>
      </c>
      <c r="H18" t="inlineStr">
        <is>
          <t>Motorisation trend</t>
        </is>
      </c>
    </row>
    <row r="19">
      <c r="A19" t="inlineStr">
        <is>
          <t>accessible_share</t>
        </is>
      </c>
      <c r="B19" t="inlineStr">
        <is>
          <t>Share of traffic that can access</t>
        </is>
      </c>
      <c r="C19" t="inlineStr"/>
      <c r="D19" s="13" t="n">
        <v>0.5</v>
      </c>
      <c r="E19" s="13" t="n">
        <v>0.55</v>
      </c>
      <c r="F19" s="13" t="n">
        <v>0.6</v>
      </c>
      <c r="G19" t="inlineStr">
        <is>
          <t>ASSUMPTION</t>
        </is>
      </c>
      <c r="H19" t="inlineStr">
        <is>
          <t>Right-in/right-out from one carriageway + some U-turn capture</t>
        </is>
      </c>
    </row>
    <row r="20">
      <c r="A20" t="inlineStr">
        <is>
          <t>capture_rate</t>
        </is>
      </c>
      <c r="B20" t="inlineStr">
        <is>
          <t>Capture rate of accessible vehicles (Y1 steady state)</t>
        </is>
      </c>
      <c r="C20" t="inlineStr"/>
      <c r="D20" s="13" t="n">
        <v>0.012</v>
      </c>
      <c r="E20" s="13" t="n">
        <v>0.018</v>
      </c>
      <c r="F20" s="13" t="n">
        <v>0.025</v>
      </c>
      <c r="G20" t="inlineStr">
        <is>
          <t>ASSUMPTION</t>
        </is>
      </c>
      <c r="H20" t="inlineStr">
        <is>
          <t>PLACEHOLDER</t>
        </is>
      </c>
    </row>
    <row r="21">
      <c r="A21" t="inlineStr">
        <is>
          <t>capture_growth</t>
        </is>
      </c>
      <c r="B21" t="inlineStr">
        <is>
          <t>Capture growth</t>
        </is>
      </c>
      <c r="C21" t="inlineStr">
        <is>
          <t>/yr</t>
        </is>
      </c>
      <c r="D21" s="13" t="n">
        <v>0.03</v>
      </c>
      <c r="E21" s="13" t="n">
        <v>0.06</v>
      </c>
      <c r="F21" s="13" t="n">
        <v>0.1</v>
      </c>
      <c r="G21" t="inlineStr">
        <is>
          <t>ASSUMPTION</t>
        </is>
      </c>
      <c r="H21" t="inlineStr">
        <is>
          <t>Brand awareness build Y2-Y5</t>
        </is>
      </c>
    </row>
    <row r="22">
      <c r="A22" t="inlineStr">
        <is>
          <t>avg_ticket_amd</t>
        </is>
      </c>
      <c r="B22" t="inlineStr">
        <is>
          <t>Average transaction value (per order)</t>
        </is>
      </c>
      <c r="C22" t="inlineStr">
        <is>
          <t>AMD incl. VAT</t>
        </is>
      </c>
      <c r="D22" s="14" t="n">
        <v>2200</v>
      </c>
      <c r="E22" s="14" t="n">
        <v>2600</v>
      </c>
      <c r="F22" s="14" t="n">
        <v>3000</v>
      </c>
      <c r="G22" t="inlineStr">
        <is>
          <t>ASSUMPTION</t>
        </is>
      </c>
      <c r="H22" t="inlineStr">
        <is>
          <t>PLACEHOLDER</t>
        </is>
      </c>
    </row>
    <row r="23">
      <c r="A23" t="inlineStr">
        <is>
          <t>other_transactions_day</t>
        </is>
      </c>
      <c r="B23" t="inlineStr">
        <is>
          <t>Non-highway transactions/day</t>
        </is>
      </c>
      <c r="C23" t="inlineStr">
        <is>
          <t>tx/day</t>
        </is>
      </c>
      <c r="D23" s="14" t="n">
        <v>10</v>
      </c>
      <c r="E23" s="14" t="n">
        <v>20</v>
      </c>
      <c r="F23" s="14" t="n">
        <v>30</v>
      </c>
      <c r="G23" t="inlineStr">
        <is>
          <t>ASSUMPTION</t>
        </is>
      </c>
      <c r="H23" t="inlineStr">
        <is>
          <t>Walk-in locals, staff of nearby businesses, pre-orders</t>
        </is>
      </c>
    </row>
    <row r="24">
      <c r="A24" t="inlineStr">
        <is>
          <t>price_inflation</t>
        </is>
      </c>
      <c r="B24" t="inlineStr">
        <is>
          <t>Menu price growth</t>
        </is>
      </c>
      <c r="C24" t="inlineStr">
        <is>
          <t>/yr</t>
        </is>
      </c>
      <c r="D24" s="13" t="n">
        <v>0.03</v>
      </c>
      <c r="E24" s="13" t="n">
        <v>0.035</v>
      </c>
      <c r="F24" s="13" t="n">
        <v>0.04</v>
      </c>
      <c r="G24" t="inlineStr">
        <is>
          <t>ASSUMPTION</t>
        </is>
      </c>
      <c r="H24" t="inlineStr">
        <is>
          <t>CBA inflation target 4% ±1.5</t>
        </is>
      </c>
    </row>
    <row r="26">
      <c r="A26" s="9" t="inlineStr">
        <is>
          <t>Seasonality index (traffic, mean = 1.00)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>
      <c r="A27" t="inlineStr">
        <is>
          <t>season_1</t>
        </is>
      </c>
      <c r="B27" t="inlineStr">
        <is>
          <t>Seasonality — Jan</t>
        </is>
      </c>
      <c r="C27" t="inlineStr">
        <is>
          <t>index</t>
        </is>
      </c>
      <c r="D27" s="15" t="n">
        <v>0.66</v>
      </c>
      <c r="E27" s="15" t="n">
        <v>0.66</v>
      </c>
      <c r="F27" s="15" t="n">
        <v>0.66</v>
      </c>
      <c r="G27" t="inlineStr">
        <is>
          <t>ESTIMATE</t>
        </is>
      </c>
      <c r="H27" t="inlineStr">
        <is>
          <t>PLACEHOLDER</t>
        </is>
      </c>
    </row>
    <row r="28">
      <c r="A28" t="inlineStr">
        <is>
          <t>season_2</t>
        </is>
      </c>
      <c r="B28" t="inlineStr">
        <is>
          <t>Seasonality — Feb</t>
        </is>
      </c>
      <c r="C28" t="inlineStr">
        <is>
          <t>index</t>
        </is>
      </c>
      <c r="D28" s="15" t="n">
        <v>0.68</v>
      </c>
      <c r="E28" s="15" t="n">
        <v>0.68</v>
      </c>
      <c r="F28" s="15" t="n">
        <v>0.68</v>
      </c>
      <c r="G28" t="inlineStr">
        <is>
          <t>ESTIMATE</t>
        </is>
      </c>
      <c r="H28" t="inlineStr"/>
    </row>
    <row r="29">
      <c r="A29" t="inlineStr">
        <is>
          <t>season_3</t>
        </is>
      </c>
      <c r="B29" t="inlineStr">
        <is>
          <t>Seasonality — Mar</t>
        </is>
      </c>
      <c r="C29" t="inlineStr">
        <is>
          <t>index</t>
        </is>
      </c>
      <c r="D29" s="15" t="n">
        <v>0.8</v>
      </c>
      <c r="E29" s="15" t="n">
        <v>0.8</v>
      </c>
      <c r="F29" s="15" t="n">
        <v>0.8</v>
      </c>
      <c r="G29" t="inlineStr">
        <is>
          <t>ESTIMATE</t>
        </is>
      </c>
      <c r="H29" t="inlineStr"/>
    </row>
    <row r="30">
      <c r="A30" t="inlineStr">
        <is>
          <t>season_4</t>
        </is>
      </c>
      <c r="B30" t="inlineStr">
        <is>
          <t>Seasonality — Apr</t>
        </is>
      </c>
      <c r="C30" t="inlineStr">
        <is>
          <t>index</t>
        </is>
      </c>
      <c r="D30" s="15" t="n">
        <v>0.92</v>
      </c>
      <c r="E30" s="15" t="n">
        <v>0.92</v>
      </c>
      <c r="F30" s="15" t="n">
        <v>0.92</v>
      </c>
      <c r="G30" t="inlineStr">
        <is>
          <t>ESTIMATE</t>
        </is>
      </c>
      <c r="H30" t="inlineStr"/>
    </row>
    <row r="31">
      <c r="A31" t="inlineStr">
        <is>
          <t>season_5</t>
        </is>
      </c>
      <c r="B31" t="inlineStr">
        <is>
          <t>Seasonality — May</t>
        </is>
      </c>
      <c r="C31" t="inlineStr">
        <is>
          <t>index</t>
        </is>
      </c>
      <c r="D31" s="15" t="n">
        <v>1.02</v>
      </c>
      <c r="E31" s="15" t="n">
        <v>1.02</v>
      </c>
      <c r="F31" s="15" t="n">
        <v>1.02</v>
      </c>
      <c r="G31" t="inlineStr">
        <is>
          <t>ESTIMATE</t>
        </is>
      </c>
      <c r="H31" t="inlineStr"/>
    </row>
    <row r="32">
      <c r="A32" t="inlineStr">
        <is>
          <t>season_6</t>
        </is>
      </c>
      <c r="B32" t="inlineStr">
        <is>
          <t>Seasonality — Jun</t>
        </is>
      </c>
      <c r="C32" t="inlineStr">
        <is>
          <t>index</t>
        </is>
      </c>
      <c r="D32" s="15" t="n">
        <v>1.2</v>
      </c>
      <c r="E32" s="15" t="n">
        <v>1.2</v>
      </c>
      <c r="F32" s="15" t="n">
        <v>1.2</v>
      </c>
      <c r="G32" t="inlineStr">
        <is>
          <t>ESTIMATE</t>
        </is>
      </c>
      <c r="H32" t="inlineStr"/>
    </row>
    <row r="33">
      <c r="A33" t="inlineStr">
        <is>
          <t>season_7</t>
        </is>
      </c>
      <c r="B33" t="inlineStr">
        <is>
          <t>Seasonality — Jul</t>
        </is>
      </c>
      <c r="C33" t="inlineStr">
        <is>
          <t>index</t>
        </is>
      </c>
      <c r="D33" s="15" t="n">
        <v>1.42</v>
      </c>
      <c r="E33" s="15" t="n">
        <v>1.42</v>
      </c>
      <c r="F33" s="15" t="n">
        <v>1.42</v>
      </c>
      <c r="G33" t="inlineStr">
        <is>
          <t>ESTIMATE</t>
        </is>
      </c>
      <c r="H33" t="inlineStr"/>
    </row>
    <row r="34">
      <c r="A34" t="inlineStr">
        <is>
          <t>season_8</t>
        </is>
      </c>
      <c r="B34" t="inlineStr">
        <is>
          <t>Seasonality — Aug</t>
        </is>
      </c>
      <c r="C34" t="inlineStr">
        <is>
          <t>index</t>
        </is>
      </c>
      <c r="D34" s="15" t="n">
        <v>1.46</v>
      </c>
      <c r="E34" s="15" t="n">
        <v>1.46</v>
      </c>
      <c r="F34" s="15" t="n">
        <v>1.46</v>
      </c>
      <c r="G34" t="inlineStr">
        <is>
          <t>ESTIMATE</t>
        </is>
      </c>
      <c r="H34" t="inlineStr"/>
    </row>
    <row r="35">
      <c r="A35" t="inlineStr">
        <is>
          <t>season_9</t>
        </is>
      </c>
      <c r="B35" t="inlineStr">
        <is>
          <t>Seasonality — Sep</t>
        </is>
      </c>
      <c r="C35" t="inlineStr">
        <is>
          <t>index</t>
        </is>
      </c>
      <c r="D35" s="15" t="n">
        <v>1.14</v>
      </c>
      <c r="E35" s="15" t="n">
        <v>1.14</v>
      </c>
      <c r="F35" s="15" t="n">
        <v>1.14</v>
      </c>
      <c r="G35" t="inlineStr">
        <is>
          <t>ESTIMATE</t>
        </is>
      </c>
      <c r="H35" t="inlineStr"/>
    </row>
    <row r="36">
      <c r="A36" t="inlineStr">
        <is>
          <t>season_10</t>
        </is>
      </c>
      <c r="B36" t="inlineStr">
        <is>
          <t>Seasonality — Oct</t>
        </is>
      </c>
      <c r="C36" t="inlineStr">
        <is>
          <t>index</t>
        </is>
      </c>
      <c r="D36" s="15" t="n">
        <v>0.96</v>
      </c>
      <c r="E36" s="15" t="n">
        <v>0.96</v>
      </c>
      <c r="F36" s="15" t="n">
        <v>0.96</v>
      </c>
      <c r="G36" t="inlineStr">
        <is>
          <t>ESTIMATE</t>
        </is>
      </c>
      <c r="H36" t="inlineStr"/>
    </row>
    <row r="37">
      <c r="A37" t="inlineStr">
        <is>
          <t>season_11</t>
        </is>
      </c>
      <c r="B37" t="inlineStr">
        <is>
          <t>Seasonality — Nov</t>
        </is>
      </c>
      <c r="C37" t="inlineStr">
        <is>
          <t>index</t>
        </is>
      </c>
      <c r="D37" s="15" t="n">
        <v>0.82</v>
      </c>
      <c r="E37" s="15" t="n">
        <v>0.82</v>
      </c>
      <c r="F37" s="15" t="n">
        <v>0.82</v>
      </c>
      <c r="G37" t="inlineStr">
        <is>
          <t>ESTIMATE</t>
        </is>
      </c>
      <c r="H37" t="inlineStr"/>
    </row>
    <row r="38">
      <c r="A38" t="inlineStr">
        <is>
          <t>season_12</t>
        </is>
      </c>
      <c r="B38" t="inlineStr">
        <is>
          <t>Seasonality — Dec</t>
        </is>
      </c>
      <c r="C38" t="inlineStr">
        <is>
          <t>index</t>
        </is>
      </c>
      <c r="D38" s="15" t="n">
        <v>0.92</v>
      </c>
      <c r="E38" s="15" t="n">
        <v>0.92</v>
      </c>
      <c r="F38" s="15" t="n">
        <v>0.92</v>
      </c>
      <c r="G38" t="inlineStr">
        <is>
          <t>ESTIMATE</t>
        </is>
      </c>
      <c r="H38" t="inlineStr"/>
    </row>
    <row r="40">
      <c r="A40" s="9" t="inlineStr">
        <is>
          <t>Opening ramp (capture multiplier by month since opening)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t="inlineStr">
        <is>
          <t>ramp_1</t>
        </is>
      </c>
      <c r="B41" t="inlineStr">
        <is>
          <t>Ramp — month 1</t>
        </is>
      </c>
      <c r="C41" t="inlineStr">
        <is>
          <t>x</t>
        </is>
      </c>
      <c r="D41" s="15" t="n">
        <v>0.45</v>
      </c>
      <c r="E41" s="15" t="n">
        <v>0.55</v>
      </c>
      <c r="F41" s="15" t="n">
        <v>0.65</v>
      </c>
      <c r="G41" t="inlineStr">
        <is>
          <t>ASSUMPTION</t>
        </is>
      </c>
      <c r="H41" t="inlineStr">
        <is>
          <t>Typical new-unit ramp</t>
        </is>
      </c>
    </row>
    <row r="42">
      <c r="A42" t="inlineStr">
        <is>
          <t>ramp_2</t>
        </is>
      </c>
      <c r="B42" t="inlineStr">
        <is>
          <t>Ramp — month 2</t>
        </is>
      </c>
      <c r="C42" t="inlineStr">
        <is>
          <t>x</t>
        </is>
      </c>
      <c r="D42" s="15" t="n">
        <v>0.55</v>
      </c>
      <c r="E42" s="15" t="n">
        <v>0.65</v>
      </c>
      <c r="F42" s="15" t="n">
        <v>0.75</v>
      </c>
      <c r="G42" t="inlineStr">
        <is>
          <t>ASSUMPTION</t>
        </is>
      </c>
      <c r="H42" t="inlineStr"/>
    </row>
    <row r="43">
      <c r="A43" t="inlineStr">
        <is>
          <t>ramp_3</t>
        </is>
      </c>
      <c r="B43" t="inlineStr">
        <is>
          <t>Ramp — month 3</t>
        </is>
      </c>
      <c r="C43" t="inlineStr">
        <is>
          <t>x</t>
        </is>
      </c>
      <c r="D43" s="15" t="n">
        <v>0.65</v>
      </c>
      <c r="E43" s="15" t="n">
        <v>0.74</v>
      </c>
      <c r="F43" s="15" t="n">
        <v>0.83</v>
      </c>
      <c r="G43" t="inlineStr">
        <is>
          <t>ASSUMPTION</t>
        </is>
      </c>
      <c r="H43" t="inlineStr"/>
    </row>
    <row r="44">
      <c r="A44" t="inlineStr">
        <is>
          <t>ramp_4</t>
        </is>
      </c>
      <c r="B44" t="inlineStr">
        <is>
          <t>Ramp — month 4</t>
        </is>
      </c>
      <c r="C44" t="inlineStr">
        <is>
          <t>x</t>
        </is>
      </c>
      <c r="D44" s="15" t="n">
        <v>0.72</v>
      </c>
      <c r="E44" s="15" t="n">
        <v>0.8100000000000001</v>
      </c>
      <c r="F44" s="15" t="n">
        <v>0.89</v>
      </c>
      <c r="G44" t="inlineStr">
        <is>
          <t>ASSUMPTION</t>
        </is>
      </c>
      <c r="H44" t="inlineStr"/>
    </row>
    <row r="45">
      <c r="A45" t="inlineStr">
        <is>
          <t>ramp_5</t>
        </is>
      </c>
      <c r="B45" t="inlineStr">
        <is>
          <t>Ramp — month 5</t>
        </is>
      </c>
      <c r="C45" t="inlineStr">
        <is>
          <t>x</t>
        </is>
      </c>
      <c r="D45" s="15" t="n">
        <v>0.78</v>
      </c>
      <c r="E45" s="15" t="n">
        <v>0.86</v>
      </c>
      <c r="F45" s="15" t="n">
        <v>0.93</v>
      </c>
      <c r="G45" t="inlineStr">
        <is>
          <t>ASSUMPTION</t>
        </is>
      </c>
      <c r="H45" t="inlineStr"/>
    </row>
    <row r="46">
      <c r="A46" t="inlineStr">
        <is>
          <t>ramp_6</t>
        </is>
      </c>
      <c r="B46" t="inlineStr">
        <is>
          <t>Ramp — month 6</t>
        </is>
      </c>
      <c r="C46" t="inlineStr">
        <is>
          <t>x</t>
        </is>
      </c>
      <c r="D46" s="15" t="n">
        <v>0.83</v>
      </c>
      <c r="E46" s="15" t="n">
        <v>0.9</v>
      </c>
      <c r="F46" s="15" t="n">
        <v>0.96</v>
      </c>
      <c r="G46" t="inlineStr">
        <is>
          <t>ASSUMPTION</t>
        </is>
      </c>
      <c r="H46" t="inlineStr"/>
    </row>
    <row r="47">
      <c r="A47" t="inlineStr">
        <is>
          <t>ramp_7</t>
        </is>
      </c>
      <c r="B47" t="inlineStr">
        <is>
          <t>Ramp — month 7</t>
        </is>
      </c>
      <c r="C47" t="inlineStr">
        <is>
          <t>x</t>
        </is>
      </c>
      <c r="D47" s="15" t="n">
        <v>0.87</v>
      </c>
      <c r="E47" s="15" t="n">
        <v>0.93</v>
      </c>
      <c r="F47" s="15" t="n">
        <v>0.98</v>
      </c>
      <c r="G47" t="inlineStr">
        <is>
          <t>ASSUMPTION</t>
        </is>
      </c>
      <c r="H47" t="inlineStr"/>
    </row>
    <row r="48">
      <c r="A48" t="inlineStr">
        <is>
          <t>ramp_8</t>
        </is>
      </c>
      <c r="B48" t="inlineStr">
        <is>
          <t>Ramp — month 8</t>
        </is>
      </c>
      <c r="C48" t="inlineStr">
        <is>
          <t>x</t>
        </is>
      </c>
      <c r="D48" s="15" t="n">
        <v>0.9</v>
      </c>
      <c r="E48" s="15" t="n">
        <v>0.95</v>
      </c>
      <c r="F48" s="15" t="n">
        <v>1</v>
      </c>
      <c r="G48" t="inlineStr">
        <is>
          <t>ASSUMPTION</t>
        </is>
      </c>
      <c r="H48" t="inlineStr"/>
    </row>
    <row r="49">
      <c r="A49" t="inlineStr">
        <is>
          <t>ramp_9</t>
        </is>
      </c>
      <c r="B49" t="inlineStr">
        <is>
          <t>Ramp — month 9</t>
        </is>
      </c>
      <c r="C49" t="inlineStr">
        <is>
          <t>x</t>
        </is>
      </c>
      <c r="D49" s="15" t="n">
        <v>0.93</v>
      </c>
      <c r="E49" s="15" t="n">
        <v>0.97</v>
      </c>
      <c r="F49" s="15" t="n">
        <v>1</v>
      </c>
      <c r="G49" t="inlineStr">
        <is>
          <t>ASSUMPTION</t>
        </is>
      </c>
      <c r="H49" t="inlineStr"/>
    </row>
    <row r="50">
      <c r="A50" t="inlineStr">
        <is>
          <t>ramp_10</t>
        </is>
      </c>
      <c r="B50" t="inlineStr">
        <is>
          <t>Ramp — month 10</t>
        </is>
      </c>
      <c r="C50" t="inlineStr">
        <is>
          <t>x</t>
        </is>
      </c>
      <c r="D50" s="15" t="n">
        <v>0.95</v>
      </c>
      <c r="E50" s="15" t="n">
        <v>0.98</v>
      </c>
      <c r="F50" s="15" t="n">
        <v>1</v>
      </c>
      <c r="G50" t="inlineStr">
        <is>
          <t>ASSUMPTION</t>
        </is>
      </c>
      <c r="H50" t="inlineStr"/>
    </row>
    <row r="51">
      <c r="A51" t="inlineStr">
        <is>
          <t>ramp_11</t>
        </is>
      </c>
      <c r="B51" t="inlineStr">
        <is>
          <t>Ramp — month 11</t>
        </is>
      </c>
      <c r="C51" t="inlineStr">
        <is>
          <t>x</t>
        </is>
      </c>
      <c r="D51" s="15" t="n">
        <v>0.97</v>
      </c>
      <c r="E51" s="15" t="n">
        <v>0.99</v>
      </c>
      <c r="F51" s="15" t="n">
        <v>1</v>
      </c>
      <c r="G51" t="inlineStr">
        <is>
          <t>ASSUMPTION</t>
        </is>
      </c>
      <c r="H51" t="inlineStr"/>
    </row>
    <row r="52">
      <c r="A52" t="inlineStr">
        <is>
          <t>ramp_12</t>
        </is>
      </c>
      <c r="B52" t="inlineStr">
        <is>
          <t>Ramp — month 12</t>
        </is>
      </c>
      <c r="C52" t="inlineStr">
        <is>
          <t>x</t>
        </is>
      </c>
      <c r="D52" s="15" t="n">
        <v>0.98</v>
      </c>
      <c r="E52" s="15" t="n">
        <v>1</v>
      </c>
      <c r="F52" s="15" t="n">
        <v>1</v>
      </c>
      <c r="G52" t="inlineStr">
        <is>
          <t>ASSUMPTION</t>
        </is>
      </c>
      <c r="H52" t="inlineStr"/>
    </row>
    <row r="54">
      <c r="A54" s="9" t="inlineStr">
        <is>
          <t>Operating costs</t>
        </is>
      </c>
      <c r="B54" s="10" t="n"/>
      <c r="C54" s="10" t="n"/>
      <c r="D54" s="10" t="n"/>
      <c r="E54" s="10" t="n"/>
      <c r="F54" s="10" t="n"/>
      <c r="G54" s="10" t="n"/>
      <c r="H54" s="10" t="n"/>
    </row>
    <row r="55">
      <c r="A55" t="inlineStr">
        <is>
          <t>cogs_pct</t>
        </is>
      </c>
      <c r="B55" t="inlineStr">
        <is>
          <t>Food, beverage &amp; packaging cost</t>
        </is>
      </c>
      <c r="C55" t="inlineStr">
        <is>
          <t>of net sales</t>
        </is>
      </c>
      <c r="D55" s="13" t="n">
        <v>0.33</v>
      </c>
      <c r="E55" s="13" t="n">
        <v>0.31</v>
      </c>
      <c r="F55" s="13" t="n">
        <v>0.29</v>
      </c>
      <c r="G55" t="inlineStr">
        <is>
          <t>ESTIMATE</t>
        </is>
      </c>
      <c r="H55" t="inlineStr">
        <is>
          <t>PLACEHOLDER</t>
        </is>
      </c>
    </row>
    <row r="56">
      <c r="A56" t="inlineStr">
        <is>
          <t>waste_pct</t>
        </is>
      </c>
      <c r="B56" t="inlineStr">
        <is>
          <t>Waste</t>
        </is>
      </c>
      <c r="C56" t="inlineStr">
        <is>
          <t>of net sales</t>
        </is>
      </c>
      <c r="D56" s="13" t="n">
        <v>0.02</v>
      </c>
      <c r="E56" s="13" t="n">
        <v>0.02</v>
      </c>
      <c r="F56" s="13" t="n">
        <v>0.02</v>
      </c>
      <c r="G56" t="inlineStr">
        <is>
          <t>ASSUMPTION</t>
        </is>
      </c>
      <c r="H56" t="inlineStr">
        <is>
          <t>Bakery shrink, spoilage</t>
        </is>
      </c>
    </row>
    <row r="57">
      <c r="A57" t="inlineStr">
        <is>
          <t>card_share</t>
        </is>
      </c>
      <c r="B57" t="inlineStr">
        <is>
          <t>Card/wallet share of payments</t>
        </is>
      </c>
      <c r="C57" t="inlineStr">
        <is>
          <t>of gross</t>
        </is>
      </c>
      <c r="D57" s="13" t="n">
        <v>0.75</v>
      </c>
      <c r="E57" s="13" t="n">
        <v>0.75</v>
      </c>
      <c r="F57" s="13" t="n">
        <v>0.75</v>
      </c>
      <c r="G57" t="inlineStr">
        <is>
          <t>ASSUMPTION</t>
        </is>
      </c>
      <c r="H57" t="inlineStr">
        <is>
          <t>PLACEHOLDER</t>
        </is>
      </c>
    </row>
    <row r="58">
      <c r="A58" t="inlineStr">
        <is>
          <t>card_fee_pct</t>
        </is>
      </c>
      <c r="B58" t="inlineStr">
        <is>
          <t>Acquiring fee</t>
        </is>
      </c>
      <c r="C58" t="inlineStr"/>
      <c r="D58" s="13" t="n">
        <v>0.018</v>
      </c>
      <c r="E58" s="13" t="n">
        <v>0.018</v>
      </c>
      <c r="F58" s="13" t="n">
        <v>0.018</v>
      </c>
      <c r="G58" t="inlineStr">
        <is>
          <t>ASSUMPTION</t>
        </is>
      </c>
      <c r="H58" t="inlineStr">
        <is>
          <t>PLACEHOLDER</t>
        </is>
      </c>
    </row>
    <row r="59">
      <c r="A59" t="inlineStr">
        <is>
          <t>marketing_pct</t>
        </is>
      </c>
      <c r="B59" t="inlineStr">
        <is>
          <t>Ongoing marketing</t>
        </is>
      </c>
      <c r="C59" t="inlineStr">
        <is>
          <t>of net sales</t>
        </is>
      </c>
      <c r="D59" s="13" t="n">
        <v>0.03</v>
      </c>
      <c r="E59" s="13" t="n">
        <v>0.03</v>
      </c>
      <c r="F59" s="13" t="n">
        <v>0.03</v>
      </c>
      <c r="G59" t="inlineStr">
        <is>
          <t>ASSUMPTION</t>
        </is>
      </c>
      <c r="H59" t="inlineStr"/>
    </row>
    <row r="60">
      <c r="A60" t="inlineStr">
        <is>
          <t>launch_marketing_amd</t>
        </is>
      </c>
      <c r="B60" t="inlineStr">
        <is>
          <t>Launch marketing (months 1-3)</t>
        </is>
      </c>
      <c r="C60" t="inlineStr">
        <is>
          <t>AMD</t>
        </is>
      </c>
      <c r="D60" s="14" t="n">
        <v>12000000</v>
      </c>
      <c r="E60" s="14" t="n">
        <v>12000000</v>
      </c>
      <c r="F60" s="14" t="n">
        <v>12000000</v>
      </c>
      <c r="G60" t="inlineStr">
        <is>
          <t>ASSUMPTION</t>
        </is>
      </c>
      <c r="H60" t="inlineStr"/>
    </row>
    <row r="61">
      <c r="A61" t="inlineStr">
        <is>
          <t>repairs_maint_pct</t>
        </is>
      </c>
      <c r="B61" t="inlineStr">
        <is>
          <t>Repairs &amp; maintenance</t>
        </is>
      </c>
      <c r="C61" t="inlineStr">
        <is>
          <t>of net sales</t>
        </is>
      </c>
      <c r="D61" s="13" t="n">
        <v>0.015</v>
      </c>
      <c r="E61" s="13" t="n">
        <v>0.015</v>
      </c>
      <c r="F61" s="13" t="n">
        <v>0.015</v>
      </c>
      <c r="G61" t="inlineStr">
        <is>
          <t>ASSUMPTION</t>
        </is>
      </c>
      <c r="H61" t="inlineStr"/>
    </row>
    <row r="62">
      <c r="A62" t="inlineStr">
        <is>
          <t>other_variable_pct</t>
        </is>
      </c>
      <c r="B62" t="inlineStr">
        <is>
          <t>Other variable costs</t>
        </is>
      </c>
      <c r="C62" t="inlineStr">
        <is>
          <t>of net sales</t>
        </is>
      </c>
      <c r="D62" s="13" t="n">
        <v>0.01</v>
      </c>
      <c r="E62" s="13" t="n">
        <v>0.01</v>
      </c>
      <c r="F62" s="13" t="n">
        <v>0.01</v>
      </c>
      <c r="G62" t="inlineStr">
        <is>
          <t>ASSUMPTION</t>
        </is>
      </c>
      <c r="H62" t="inlineStr">
        <is>
          <t>Cleaning chemicals, small wares, POS/app SaaS</t>
        </is>
      </c>
    </row>
    <row r="63">
      <c r="A63" t="inlineStr">
        <is>
          <t>utilities_variable_pct</t>
        </is>
      </c>
      <c r="B63" t="inlineStr">
        <is>
          <t>Utilities (variable part)</t>
        </is>
      </c>
      <c r="C63" t="inlineStr">
        <is>
          <t>of net sales</t>
        </is>
      </c>
      <c r="D63" s="13" t="n">
        <v>0.012</v>
      </c>
      <c r="E63" s="13" t="n">
        <v>0.012</v>
      </c>
      <c r="F63" s="13" t="n">
        <v>0.012</v>
      </c>
      <c r="G63" t="inlineStr">
        <is>
          <t>ESTIMATE</t>
        </is>
      </c>
      <c r="H63" t="inlineStr"/>
    </row>
    <row r="64">
      <c r="A64" t="inlineStr">
        <is>
          <t>fixed_other_amd_month</t>
        </is>
      </c>
      <c r="B64" t="inlineStr">
        <is>
          <t>Other fixed costs</t>
        </is>
      </c>
      <c r="C64" t="inlineStr">
        <is>
          <t>AMD/month</t>
        </is>
      </c>
      <c r="D64" s="14" t="n">
        <v>750000</v>
      </c>
      <c r="E64" s="14" t="n">
        <v>750000</v>
      </c>
      <c r="F64" s="14" t="n">
        <v>750000</v>
      </c>
      <c r="G64" t="inlineStr">
        <is>
          <t>ASSUMPTION</t>
        </is>
      </c>
      <c r="H64" t="inlineStr">
        <is>
          <t>Insurance, accounting, security, waste, licences, IT, cleaning</t>
        </is>
      </c>
    </row>
    <row r="65">
      <c r="A65" t="inlineStr">
        <is>
          <t>rent_amd_month</t>
        </is>
      </c>
      <c r="B65" t="inlineStr">
        <is>
          <t>Ground lease</t>
        </is>
      </c>
      <c r="C65" t="inlineStr">
        <is>
          <t>AMD/month</t>
        </is>
      </c>
      <c r="D65" s="14" t="n">
        <v>1800000</v>
      </c>
      <c r="E65" s="14" t="n">
        <v>1500000</v>
      </c>
      <c r="F65" s="14" t="n">
        <v>1300000</v>
      </c>
      <c r="G65" t="inlineStr">
        <is>
          <t>ASSUMPTION</t>
        </is>
      </c>
      <c r="H65" t="inlineStr">
        <is>
          <t>PLACEHOLDER</t>
        </is>
      </c>
    </row>
    <row r="66">
      <c r="A66" t="inlineStr">
        <is>
          <t>land_property_tax_amd_year</t>
        </is>
      </c>
      <c r="B66" t="inlineStr">
        <is>
          <t>Land &amp; property tax</t>
        </is>
      </c>
      <c r="C66" t="inlineStr">
        <is>
          <t>AMD/yr</t>
        </is>
      </c>
      <c r="D66" s="14" t="n">
        <v>600000</v>
      </c>
      <c r="E66" s="14" t="n">
        <v>600000</v>
      </c>
      <c r="F66" s="14" t="n">
        <v>600000</v>
      </c>
      <c r="G66" t="inlineStr">
        <is>
          <t>ESTIMATE</t>
        </is>
      </c>
      <c r="H66" t="inlineStr">
        <is>
          <t>PLACEHOLDER</t>
        </is>
      </c>
    </row>
    <row r="67">
      <c r="A67" t="inlineStr">
        <is>
          <t>employer_oncost_pct</t>
        </is>
      </c>
      <c r="B67" t="inlineStr">
        <is>
          <t>Employer on-costs</t>
        </is>
      </c>
      <c r="C67" t="inlineStr">
        <is>
          <t>of gross wages</t>
        </is>
      </c>
      <c r="D67" s="13" t="n">
        <v>0.01</v>
      </c>
      <c r="E67" s="13" t="n">
        <v>0.01</v>
      </c>
      <c r="F67" s="13" t="n">
        <v>0.01</v>
      </c>
      <c r="G67" t="inlineStr">
        <is>
          <t>ASSUMPTION</t>
        </is>
      </c>
      <c r="H67" t="inlineStr">
        <is>
          <t>PLACEHOLDER</t>
        </is>
      </c>
    </row>
    <row r="68">
      <c r="A68" t="inlineStr">
        <is>
          <t>staff_meals_uniforms_amd_month</t>
        </is>
      </c>
      <c r="B68" t="inlineStr">
        <is>
          <t>Staff meals &amp; uniforms</t>
        </is>
      </c>
      <c r="C68" t="inlineStr">
        <is>
          <t>AMD/FTE/month</t>
        </is>
      </c>
      <c r="D68" s="14" t="n">
        <v>15000</v>
      </c>
      <c r="E68" s="14" t="n">
        <v>15000</v>
      </c>
      <c r="F68" s="14" t="n">
        <v>15000</v>
      </c>
      <c r="G68" t="inlineStr">
        <is>
          <t>ASSUMPTION</t>
        </is>
      </c>
      <c r="H68" t="inlineStr"/>
    </row>
    <row r="69">
      <c r="A69" t="inlineStr">
        <is>
          <t>peak_season_threshold</t>
        </is>
      </c>
      <c r="B69" t="inlineStr">
        <is>
          <t>Peak staffing threshold</t>
        </is>
      </c>
      <c r="C69" t="inlineStr">
        <is>
          <t>index</t>
        </is>
      </c>
      <c r="D69" s="15" t="n">
        <v>1.15</v>
      </c>
      <c r="E69" s="15" t="n">
        <v>1.15</v>
      </c>
      <c r="F69" s="15" t="n">
        <v>1.15</v>
      </c>
      <c r="G69" t="inlineStr">
        <is>
          <t>ASSUMPTION</t>
        </is>
      </c>
      <c r="H69" t="inlineStr">
        <is>
          <t>Add seasonal staff when seasonality ≥ threshold</t>
        </is>
      </c>
    </row>
    <row r="70">
      <c r="A70" t="inlineStr">
        <is>
          <t>cost_inflation</t>
        </is>
      </c>
      <c r="B70" t="inlineStr">
        <is>
          <t>Non-labour cost inflation</t>
        </is>
      </c>
      <c r="C70" t="inlineStr">
        <is>
          <t>/yr</t>
        </is>
      </c>
      <c r="D70" s="13" t="n">
        <v>0.045</v>
      </c>
      <c r="E70" s="13" t="n">
        <v>0.04</v>
      </c>
      <c r="F70" s="13" t="n">
        <v>0.035</v>
      </c>
      <c r="G70" t="inlineStr">
        <is>
          <t>ASSUMPTION</t>
        </is>
      </c>
      <c r="H70" t="inlineStr"/>
    </row>
    <row r="71">
      <c r="A71" t="inlineStr">
        <is>
          <t>wage_growth</t>
        </is>
      </c>
      <c r="B71" t="inlineStr">
        <is>
          <t>Wage growth</t>
        </is>
      </c>
      <c r="C71" t="inlineStr">
        <is>
          <t>/yr</t>
        </is>
      </c>
      <c r="D71" s="13" t="n">
        <v>0.08</v>
      </c>
      <c r="E71" s="13" t="n">
        <v>0.07000000000000001</v>
      </c>
      <c r="F71" s="13" t="n">
        <v>0.06</v>
      </c>
      <c r="G71" t="inlineStr">
        <is>
          <t>ASSUMPTION</t>
        </is>
      </c>
      <c r="H71" t="inlineStr">
        <is>
          <t>Nominal wage growth</t>
        </is>
      </c>
    </row>
    <row r="72">
      <c r="A72" t="inlineStr">
        <is>
          <t>maintenance_capex_pct</t>
        </is>
      </c>
      <c r="B72" t="inlineStr">
        <is>
          <t>Maintenance capex (from Y2)</t>
        </is>
      </c>
      <c r="C72" t="inlineStr">
        <is>
          <t>of net sales</t>
        </is>
      </c>
      <c r="D72" s="13" t="n">
        <v>0.01</v>
      </c>
      <c r="E72" s="13" t="n">
        <v>0.01</v>
      </c>
      <c r="F72" s="13" t="n">
        <v>0.01</v>
      </c>
      <c r="G72" t="inlineStr">
        <is>
          <t>ASSUMPTION</t>
        </is>
      </c>
      <c r="H72" t="inlineStr"/>
    </row>
    <row r="73">
      <c r="A73" t="inlineStr">
        <is>
          <t>working_capital_days</t>
        </is>
      </c>
      <c r="B73" t="inlineStr">
        <is>
          <t>Working capital</t>
        </is>
      </c>
      <c r="C73" t="inlineStr">
        <is>
          <t>days of COGS</t>
        </is>
      </c>
      <c r="D73" s="14" t="n">
        <v>10</v>
      </c>
      <c r="E73" s="14" t="n">
        <v>10</v>
      </c>
      <c r="F73" s="14" t="n">
        <v>10</v>
      </c>
      <c r="G73" t="inlineStr">
        <is>
          <t>ASSUMPTION</t>
        </is>
      </c>
      <c r="H73" t="inlineStr">
        <is>
          <t>Inventory net of supplier credit</t>
        </is>
      </c>
    </row>
    <row r="75">
      <c r="A75" s="9" t="inlineStr">
        <is>
          <t>Concept-dependent inputs (Lean | Mid-range | Flagship) — NOTE columns are concepts, not scenarios</t>
        </is>
      </c>
      <c r="B75" s="10" t="n"/>
      <c r="C75" s="10" t="n"/>
      <c r="D75" s="10" t="n"/>
      <c r="E75" s="10" t="n"/>
      <c r="F75" s="10" t="n"/>
      <c r="G75" s="10" t="n"/>
      <c r="H75" s="10" t="n"/>
    </row>
    <row r="76">
      <c r="A76" t="inlineStr">
        <is>
          <t>c_fte_base</t>
        </is>
      </c>
      <c r="B76" t="inlineStr">
        <is>
          <t>Base FTE (crew)</t>
        </is>
      </c>
      <c r="C76" t="inlineStr">
        <is>
          <t>concept</t>
        </is>
      </c>
      <c r="D76" s="14" t="n">
        <v>6</v>
      </c>
      <c r="E76" s="14" t="n">
        <v>10</v>
      </c>
      <c r="F76" s="14" t="n">
        <v>14</v>
      </c>
      <c r="G76" t="inlineStr">
        <is>
          <t>ESTIMATE</t>
        </is>
      </c>
      <c r="H76" t="inlineStr">
        <is>
          <t>See research/C3-labor.md</t>
        </is>
      </c>
    </row>
    <row r="77">
      <c r="A77" t="inlineStr">
        <is>
          <t>c_fte_peak_extra</t>
        </is>
      </c>
      <c r="B77" t="inlineStr">
        <is>
          <t>Extra FTE in peak months</t>
        </is>
      </c>
      <c r="C77" t="inlineStr">
        <is>
          <t>concept</t>
        </is>
      </c>
      <c r="D77" s="14" t="n">
        <v>2</v>
      </c>
      <c r="E77" s="14" t="n">
        <v>3</v>
      </c>
      <c r="F77" s="14" t="n">
        <v>4</v>
      </c>
      <c r="G77" t="inlineStr">
        <is>
          <t>ESTIMATE</t>
        </is>
      </c>
      <c r="H77" t="inlineStr">
        <is>
          <t>See research/C3-labor.md</t>
        </is>
      </c>
    </row>
    <row r="78">
      <c r="A78" t="inlineStr">
        <is>
          <t>c_avg_gross_wage_amd</t>
        </is>
      </c>
      <c r="B78" t="inlineStr">
        <is>
          <t>Average crew gross wage (AMD/month)</t>
        </is>
      </c>
      <c r="C78" t="inlineStr">
        <is>
          <t>concept</t>
        </is>
      </c>
      <c r="D78" s="14" t="n">
        <v>250000</v>
      </c>
      <c r="E78" s="14" t="n">
        <v>260000</v>
      </c>
      <c r="F78" s="14" t="n">
        <v>270000</v>
      </c>
      <c r="G78" t="inlineStr">
        <is>
          <t>ESTIMATE</t>
        </is>
      </c>
      <c r="H78" t="inlineStr">
        <is>
          <t>See research/C3-labor.md</t>
        </is>
      </c>
    </row>
    <row r="79">
      <c r="A79" t="inlineStr">
        <is>
          <t>c_manager_gross_amd</t>
        </is>
      </c>
      <c r="B79" t="inlineStr">
        <is>
          <t>Store manager gross wage (AMD/month)</t>
        </is>
      </c>
      <c r="C79" t="inlineStr">
        <is>
          <t>concept</t>
        </is>
      </c>
      <c r="D79" s="14" t="n">
        <v>450000</v>
      </c>
      <c r="E79" s="14" t="n">
        <v>600000</v>
      </c>
      <c r="F79" s="14" t="n">
        <v>700000</v>
      </c>
      <c r="G79" t="inlineStr">
        <is>
          <t>ESTIMATE</t>
        </is>
      </c>
      <c r="H79" t="inlineStr">
        <is>
          <t>See research/C3-labor.md</t>
        </is>
      </c>
    </row>
    <row r="80">
      <c r="A80" t="inlineStr">
        <is>
          <t>c_util_fixed</t>
        </is>
      </c>
      <c r="B80" t="inlineStr">
        <is>
          <t>Utilities (fixed part)</t>
        </is>
      </c>
      <c r="C80" t="inlineStr">
        <is>
          <t>AMD/month</t>
        </is>
      </c>
      <c r="D80" s="14" t="n">
        <v>300000</v>
      </c>
      <c r="E80" s="14" t="n">
        <v>480000</v>
      </c>
      <c r="F80" s="14" t="n">
        <v>700000</v>
      </c>
      <c r="G80" t="inlineStr">
        <is>
          <t>ESTIMATE</t>
        </is>
      </c>
      <c r="H80" t="inlineStr">
        <is>
          <t>PLACEHOLDER</t>
        </is>
      </c>
    </row>
    <row r="81">
      <c r="A81" t="inlineStr">
        <is>
          <t>c_preopen</t>
        </is>
      </c>
      <c r="B81" t="inlineStr">
        <is>
          <t>Pre-opening (recruitment, training, trial ops)</t>
        </is>
      </c>
      <c r="C81" t="inlineStr">
        <is>
          <t>AMD</t>
        </is>
      </c>
      <c r="D81" s="14" t="n">
        <v>8000000</v>
      </c>
      <c r="E81" s="14" t="n">
        <v>14000000</v>
      </c>
      <c r="F81" s="14" t="n">
        <v>20000000</v>
      </c>
      <c r="G81" t="inlineStr">
        <is>
          <t>ASSUMPTION</t>
        </is>
      </c>
      <c r="H81" t="inlineStr">
        <is>
          <t>PLACEHOLDER</t>
        </is>
      </c>
    </row>
    <row r="83">
      <c r="A83" s="9" t="inlineStr">
        <is>
          <t>Depreciation lives (years; 0 = not depreciated)</t>
        </is>
      </c>
      <c r="B83" s="10" t="n"/>
      <c r="C83" s="10" t="n"/>
      <c r="D83" s="10" t="n"/>
      <c r="E83" s="10" t="n"/>
      <c r="F83" s="10" t="n"/>
      <c r="G83" s="10" t="n"/>
      <c r="H83" s="10" t="n"/>
    </row>
    <row r="84">
      <c r="A84" t="inlineStr">
        <is>
          <t>dep_building</t>
        </is>
      </c>
      <c r="B84" t="inlineStr">
        <is>
          <t>Life — building</t>
        </is>
      </c>
      <c r="C84" t="inlineStr">
        <is>
          <t>years</t>
        </is>
      </c>
      <c r="D84" s="12" t="n">
        <v>20</v>
      </c>
      <c r="E84" s="12" t="n">
        <v>20</v>
      </c>
      <c r="F84" s="12" t="n">
        <v>20</v>
      </c>
      <c r="G84" t="inlineStr">
        <is>
          <t>ASSUMPTION</t>
        </is>
      </c>
      <c r="H84" t="inlineStr">
        <is>
          <t>PLACEHOLDER</t>
        </is>
      </c>
    </row>
    <row r="85">
      <c r="A85" t="inlineStr">
        <is>
          <t>dep_site_works</t>
        </is>
      </c>
      <c r="B85" t="inlineStr">
        <is>
          <t>Life — site_works</t>
        </is>
      </c>
      <c r="C85" t="inlineStr">
        <is>
          <t>years</t>
        </is>
      </c>
      <c r="D85" s="12" t="n">
        <v>10</v>
      </c>
      <c r="E85" s="12" t="n">
        <v>10</v>
      </c>
      <c r="F85" s="12" t="n">
        <v>10</v>
      </c>
      <c r="G85" t="inlineStr">
        <is>
          <t>ASSUMPTION</t>
        </is>
      </c>
      <c r="H85" t="inlineStr"/>
    </row>
    <row r="86">
      <c r="A86" t="inlineStr">
        <is>
          <t>dep_equipment</t>
        </is>
      </c>
      <c r="B86" t="inlineStr">
        <is>
          <t>Life — equipment</t>
        </is>
      </c>
      <c r="C86" t="inlineStr">
        <is>
          <t>years</t>
        </is>
      </c>
      <c r="D86" s="12" t="n">
        <v>5</v>
      </c>
      <c r="E86" s="12" t="n">
        <v>5</v>
      </c>
      <c r="F86" s="12" t="n">
        <v>5</v>
      </c>
      <c r="G86" t="inlineStr">
        <is>
          <t>ASSUMPTION</t>
        </is>
      </c>
      <c r="H86" t="inlineStr"/>
    </row>
    <row r="87">
      <c r="A87" t="inlineStr">
        <is>
          <t>dep_technology</t>
        </is>
      </c>
      <c r="B87" t="inlineStr">
        <is>
          <t>Life — technology</t>
        </is>
      </c>
      <c r="C87" t="inlineStr">
        <is>
          <t>years</t>
        </is>
      </c>
      <c r="D87" s="12" t="n">
        <v>3</v>
      </c>
      <c r="E87" s="12" t="n">
        <v>3</v>
      </c>
      <c r="F87" s="12" t="n">
        <v>3</v>
      </c>
      <c r="G87" t="inlineStr">
        <is>
          <t>ASSUMPTION</t>
        </is>
      </c>
      <c r="H87" t="inlineStr"/>
    </row>
    <row r="88">
      <c r="A88" t="inlineStr">
        <is>
          <t>dep_signage</t>
        </is>
      </c>
      <c r="B88" t="inlineStr">
        <is>
          <t>Life — signage</t>
        </is>
      </c>
      <c r="C88" t="inlineStr">
        <is>
          <t>years</t>
        </is>
      </c>
      <c r="D88" s="12" t="n">
        <v>5</v>
      </c>
      <c r="E88" s="12" t="n">
        <v>5</v>
      </c>
      <c r="F88" s="12" t="n">
        <v>5</v>
      </c>
      <c r="G88" t="inlineStr">
        <is>
          <t>ASSUMPTION</t>
        </is>
      </c>
      <c r="H88" t="inlineStr"/>
    </row>
    <row r="89">
      <c r="A89" t="inlineStr">
        <is>
          <t>dep_soft</t>
        </is>
      </c>
      <c r="B89" t="inlineStr">
        <is>
          <t>Life — soft</t>
        </is>
      </c>
      <c r="C89" t="inlineStr">
        <is>
          <t>years</t>
        </is>
      </c>
      <c r="D89" s="12" t="n">
        <v>5</v>
      </c>
      <c r="E89" s="12" t="n">
        <v>5</v>
      </c>
      <c r="F89" s="12" t="n">
        <v>5</v>
      </c>
      <c r="G89" t="inlineStr">
        <is>
          <t>ASSUMPTION</t>
        </is>
      </c>
      <c r="H89" t="inlineStr"/>
    </row>
    <row r="90">
      <c r="A90" t="inlineStr">
        <is>
          <t>dep_land</t>
        </is>
      </c>
      <c r="B90" t="inlineStr">
        <is>
          <t>Life — land</t>
        </is>
      </c>
      <c r="C90" t="inlineStr">
        <is>
          <t>years</t>
        </is>
      </c>
      <c r="D90" s="12" t="n">
        <v>0</v>
      </c>
      <c r="E90" s="12" t="n">
        <v>0</v>
      </c>
      <c r="F90" s="12" t="n">
        <v>0</v>
      </c>
      <c r="G90" t="inlineStr">
        <is>
          <t>ASSUMPTION</t>
        </is>
      </c>
      <c r="H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8" t="inlineStr">
        <is>
          <t>Drive-thru — 5-year P&amp;L and cash flow (AMD, nominal)</t>
        </is>
      </c>
    </row>
    <row r="3">
      <c r="A3" s="16" t="inlineStr">
        <is>
          <t>CONSERVATIVE SCENARIO</t>
        </is>
      </c>
      <c r="C3" s="17" t="inlineStr">
        <is>
          <t>Year 1</t>
        </is>
      </c>
      <c r="D3" s="17" t="inlineStr">
        <is>
          <t>Year 2</t>
        </is>
      </c>
      <c r="E3" s="17" t="inlineStr">
        <is>
          <t>Year 3</t>
        </is>
      </c>
      <c r="F3" s="17" t="inlineStr">
        <is>
          <t>Year 4</t>
        </is>
      </c>
      <c r="G3" s="17" t="inlineStr">
        <is>
          <t>Year 5</t>
        </is>
      </c>
    </row>
    <row r="4">
      <c r="A4" t="inlineStr">
        <is>
          <t>Transactions (year)</t>
        </is>
      </c>
      <c r="C4" s="5">
        <f>SUMPRODUCT((M_Cons!$C$4:$BJ$4=1)*M_Cons!$C$11:$BJ$11*M_Cons!$C$6:$BJ$6)</f>
        <v/>
      </c>
      <c r="D4" s="5">
        <f>SUMPRODUCT((M_Cons!$C$4:$BJ$4=2)*M_Cons!$C$11:$BJ$11*M_Cons!$C$6:$BJ$6)</f>
        <v/>
      </c>
      <c r="E4" s="5">
        <f>SUMPRODUCT((M_Cons!$C$4:$BJ$4=3)*M_Cons!$C$11:$BJ$11*M_Cons!$C$6:$BJ$6)</f>
        <v/>
      </c>
      <c r="F4" s="5">
        <f>SUMPRODUCT((M_Cons!$C$4:$BJ$4=4)*M_Cons!$C$11:$BJ$11*M_Cons!$C$6:$BJ$6)</f>
        <v/>
      </c>
      <c r="G4" s="5">
        <f>SUMPRODUCT((M_Cons!$C$4:$BJ$4=5)*M_Cons!$C$11:$BJ$11*M_Cons!$C$6:$BJ$6)</f>
        <v/>
      </c>
    </row>
    <row r="5">
      <c r="A5" t="inlineStr">
        <is>
          <t>Transactions / day (avg)</t>
        </is>
      </c>
      <c r="C5" s="5">
        <f>C4/SUMIF(M_Cons!$C$4:$BJ$4,1,M_Cons!$C$6:$BJ$6)</f>
        <v/>
      </c>
      <c r="D5" s="5">
        <f>D4/SUMIF(M_Cons!$C$4:$BJ$4,2,M_Cons!$C$6:$BJ$6)</f>
        <v/>
      </c>
      <c r="E5" s="5">
        <f>E4/SUMIF(M_Cons!$C$4:$BJ$4,3,M_Cons!$C$6:$BJ$6)</f>
        <v/>
      </c>
      <c r="F5" s="5">
        <f>F4/SUMIF(M_Cons!$C$4:$BJ$4,4,M_Cons!$C$6:$BJ$6)</f>
        <v/>
      </c>
      <c r="G5" s="5">
        <f>G4/SUMIF(M_Cons!$C$4:$BJ$4,5,M_Cons!$C$6:$BJ$6)</f>
        <v/>
      </c>
    </row>
    <row r="6">
      <c r="A6" t="inlineStr">
        <is>
          <t>Average ticket (AMD incl. VAT)</t>
        </is>
      </c>
      <c r="C6" s="5">
        <f>C7/C4</f>
        <v/>
      </c>
      <c r="D6" s="5">
        <f>D7/D4</f>
        <v/>
      </c>
      <c r="E6" s="5">
        <f>E7/E4</f>
        <v/>
      </c>
      <c r="F6" s="5">
        <f>F7/F4</f>
        <v/>
      </c>
      <c r="G6" s="5">
        <f>G7/G4</f>
        <v/>
      </c>
    </row>
    <row r="7">
      <c r="A7" t="inlineStr">
        <is>
          <t>Gross sales (incl. VAT)</t>
        </is>
      </c>
      <c r="C7" s="3">
        <f>SUMIF(M_Cons!$C$4:$BJ$4,1,M_Cons!$C$13:$BJ$13)</f>
        <v/>
      </c>
      <c r="D7" s="3">
        <f>SUMIF(M_Cons!$C$4:$BJ$4,2,M_Cons!$C$13:$BJ$13)</f>
        <v/>
      </c>
      <c r="E7" s="3">
        <f>SUMIF(M_Cons!$C$4:$BJ$4,3,M_Cons!$C$13:$BJ$13)</f>
        <v/>
      </c>
      <c r="F7" s="3">
        <f>SUMIF(M_Cons!$C$4:$BJ$4,4,M_Cons!$C$13:$BJ$13)</f>
        <v/>
      </c>
      <c r="G7" s="3">
        <f>SUMIF(M_Cons!$C$4:$BJ$4,5,M_Cons!$C$13:$BJ$13)</f>
        <v/>
      </c>
    </row>
    <row r="8">
      <c r="A8" s="18" t="inlineStr">
        <is>
          <t>Net sales (excl. VAT)</t>
        </is>
      </c>
      <c r="C8" s="3">
        <f>SUMIF(M_Cons!$C$4:$BJ$4,1,M_Cons!$C$14:$BJ$14)</f>
        <v/>
      </c>
      <c r="D8" s="3">
        <f>SUMIF(M_Cons!$C$4:$BJ$4,2,M_Cons!$C$14:$BJ$14)</f>
        <v/>
      </c>
      <c r="E8" s="3">
        <f>SUMIF(M_Cons!$C$4:$BJ$4,3,M_Cons!$C$14:$BJ$14)</f>
        <v/>
      </c>
      <c r="F8" s="3">
        <f>SUMIF(M_Cons!$C$4:$BJ$4,4,M_Cons!$C$14:$BJ$14)</f>
        <v/>
      </c>
      <c r="G8" s="3">
        <f>SUMIF(M_Cons!$C$4:$BJ$4,5,M_Cons!$C$14:$BJ$14)</f>
        <v/>
      </c>
    </row>
    <row r="9">
      <c r="A9" t="inlineStr">
        <is>
          <t>COGS + waste</t>
        </is>
      </c>
      <c r="C9" s="3">
        <f>SUMIF(M_Cons!$C$4:$BJ$4,1,M_Cons!$C$15:$BJ$15)</f>
        <v/>
      </c>
      <c r="D9" s="3">
        <f>SUMIF(M_Cons!$C$4:$BJ$4,2,M_Cons!$C$15:$BJ$15)</f>
        <v/>
      </c>
      <c r="E9" s="3">
        <f>SUMIF(M_Cons!$C$4:$BJ$4,3,M_Cons!$C$15:$BJ$15)</f>
        <v/>
      </c>
      <c r="F9" s="3">
        <f>SUMIF(M_Cons!$C$4:$BJ$4,4,M_Cons!$C$15:$BJ$15)</f>
        <v/>
      </c>
      <c r="G9" s="3">
        <f>SUMIF(M_Cons!$C$4:$BJ$4,5,M_Cons!$C$15:$BJ$15)</f>
        <v/>
      </c>
    </row>
    <row r="10">
      <c r="A10" t="inlineStr">
        <is>
          <t>Gross profit</t>
        </is>
      </c>
      <c r="C10" s="3">
        <f>C8-C9</f>
        <v/>
      </c>
      <c r="D10" s="3">
        <f>D8-D9</f>
        <v/>
      </c>
      <c r="E10" s="3">
        <f>E8-E9</f>
        <v/>
      </c>
      <c r="F10" s="3">
        <f>F8-F9</f>
        <v/>
      </c>
      <c r="G10" s="3">
        <f>G8-G9</f>
        <v/>
      </c>
    </row>
    <row r="11">
      <c r="A11" t="inlineStr">
        <is>
          <t>Gross margin %</t>
        </is>
      </c>
      <c r="C11" s="6">
        <f>IFERROR(C10/C8,0)</f>
        <v/>
      </c>
      <c r="D11" s="6">
        <f>IFERROR(D10/D8,0)</f>
        <v/>
      </c>
      <c r="E11" s="6">
        <f>IFERROR(E10/E8,0)</f>
        <v/>
      </c>
      <c r="F11" s="6">
        <f>IFERROR(F10/F8,0)</f>
        <v/>
      </c>
      <c r="G11" s="6">
        <f>IFERROR(G10/G8,0)</f>
        <v/>
      </c>
    </row>
    <row r="12">
      <c r="A12" t="inlineStr">
        <is>
          <t>Labour</t>
        </is>
      </c>
      <c r="C12" s="3">
        <f>SUMIF(M_Cons!$C$4:$BJ$4,1,M_Cons!$C$23:$BJ$23)</f>
        <v/>
      </c>
      <c r="D12" s="3">
        <f>SUMIF(M_Cons!$C$4:$BJ$4,2,M_Cons!$C$23:$BJ$23)</f>
        <v/>
      </c>
      <c r="E12" s="3">
        <f>SUMIF(M_Cons!$C$4:$BJ$4,3,M_Cons!$C$23:$BJ$23)</f>
        <v/>
      </c>
      <c r="F12" s="3">
        <f>SUMIF(M_Cons!$C$4:$BJ$4,4,M_Cons!$C$23:$BJ$23)</f>
        <v/>
      </c>
      <c r="G12" s="3">
        <f>SUMIF(M_Cons!$C$4:$BJ$4,5,M_Cons!$C$23:$BJ$23)</f>
        <v/>
      </c>
    </row>
    <row r="13">
      <c r="A13" t="inlineStr">
        <is>
          <t>Ground rent</t>
        </is>
      </c>
      <c r="C13" s="3">
        <f>SUMIF(M_Cons!$C$4:$BJ$4,1,M_Cons!$C$24:$BJ$24)</f>
        <v/>
      </c>
      <c r="D13" s="3">
        <f>SUMIF(M_Cons!$C$4:$BJ$4,2,M_Cons!$C$24:$BJ$24)</f>
        <v/>
      </c>
      <c r="E13" s="3">
        <f>SUMIF(M_Cons!$C$4:$BJ$4,3,M_Cons!$C$24:$BJ$24)</f>
        <v/>
      </c>
      <c r="F13" s="3">
        <f>SUMIF(M_Cons!$C$4:$BJ$4,4,M_Cons!$C$24:$BJ$24)</f>
        <v/>
      </c>
      <c r="G13" s="3">
        <f>SUMIF(M_Cons!$C$4:$BJ$4,5,M_Cons!$C$24:$BJ$24)</f>
        <v/>
      </c>
    </row>
    <row r="14">
      <c r="A14" t="inlineStr">
        <is>
          <t>Utilities</t>
        </is>
      </c>
      <c r="C14" s="3">
        <f>SUMIF(M_Cons!$C$4:$BJ$4,1,M_Cons!$C$20:$BJ$20)</f>
        <v/>
      </c>
      <c r="D14" s="3">
        <f>SUMIF(M_Cons!$C$4:$BJ$4,2,M_Cons!$C$20:$BJ$20)</f>
        <v/>
      </c>
      <c r="E14" s="3">
        <f>SUMIF(M_Cons!$C$4:$BJ$4,3,M_Cons!$C$20:$BJ$20)</f>
        <v/>
      </c>
      <c r="F14" s="3">
        <f>SUMIF(M_Cons!$C$4:$BJ$4,4,M_Cons!$C$20:$BJ$20)</f>
        <v/>
      </c>
      <c r="G14" s="3">
        <f>SUMIF(M_Cons!$C$4:$BJ$4,5,M_Cons!$C$20:$BJ$20)</f>
        <v/>
      </c>
    </row>
    <row r="15">
      <c r="A15" t="inlineStr">
        <is>
          <t>Card fees</t>
        </is>
      </c>
      <c r="C15" s="3">
        <f>SUMIF(M_Cons!$C$4:$BJ$4,1,M_Cons!$C$16:$BJ$16)</f>
        <v/>
      </c>
      <c r="D15" s="3">
        <f>SUMIF(M_Cons!$C$4:$BJ$4,2,M_Cons!$C$16:$BJ$16)</f>
        <v/>
      </c>
      <c r="E15" s="3">
        <f>SUMIF(M_Cons!$C$4:$BJ$4,3,M_Cons!$C$16:$BJ$16)</f>
        <v/>
      </c>
      <c r="F15" s="3">
        <f>SUMIF(M_Cons!$C$4:$BJ$4,4,M_Cons!$C$16:$BJ$16)</f>
        <v/>
      </c>
      <c r="G15" s="3">
        <f>SUMIF(M_Cons!$C$4:$BJ$4,5,M_Cons!$C$16:$BJ$16)</f>
        <v/>
      </c>
    </row>
    <row r="16">
      <c r="A16" t="inlineStr">
        <is>
          <t>Marketing</t>
        </is>
      </c>
      <c r="C16" s="3">
        <f>SUMIF(M_Cons!$C$4:$BJ$4,1,M_Cons!$C$17:$BJ$17)</f>
        <v/>
      </c>
      <c r="D16" s="3">
        <f>SUMIF(M_Cons!$C$4:$BJ$4,2,M_Cons!$C$17:$BJ$17)</f>
        <v/>
      </c>
      <c r="E16" s="3">
        <f>SUMIF(M_Cons!$C$4:$BJ$4,3,M_Cons!$C$17:$BJ$17)</f>
        <v/>
      </c>
      <c r="F16" s="3">
        <f>SUMIF(M_Cons!$C$4:$BJ$4,4,M_Cons!$C$17:$BJ$17)</f>
        <v/>
      </c>
      <c r="G16" s="3">
        <f>SUMIF(M_Cons!$C$4:$BJ$4,5,M_Cons!$C$17:$BJ$17)</f>
        <v/>
      </c>
    </row>
    <row r="17">
      <c r="A17" t="inlineStr">
        <is>
          <t>Repairs &amp; maintenance</t>
        </is>
      </c>
      <c r="C17" s="3">
        <f>SUMIF(M_Cons!$C$4:$BJ$4,1,M_Cons!$C$18:$BJ$18)</f>
        <v/>
      </c>
      <c r="D17" s="3">
        <f>SUMIF(M_Cons!$C$4:$BJ$4,2,M_Cons!$C$18:$BJ$18)</f>
        <v/>
      </c>
      <c r="E17" s="3">
        <f>SUMIF(M_Cons!$C$4:$BJ$4,3,M_Cons!$C$18:$BJ$18)</f>
        <v/>
      </c>
      <c r="F17" s="3">
        <f>SUMIF(M_Cons!$C$4:$BJ$4,4,M_Cons!$C$18:$BJ$18)</f>
        <v/>
      </c>
      <c r="G17" s="3">
        <f>SUMIF(M_Cons!$C$4:$BJ$4,5,M_Cons!$C$18:$BJ$18)</f>
        <v/>
      </c>
    </row>
    <row r="18">
      <c r="A18" t="inlineStr">
        <is>
          <t>Other variable</t>
        </is>
      </c>
      <c r="C18" s="3">
        <f>SUMIF(M_Cons!$C$4:$BJ$4,1,M_Cons!$C$19:$BJ$19)</f>
        <v/>
      </c>
      <c r="D18" s="3">
        <f>SUMIF(M_Cons!$C$4:$BJ$4,2,M_Cons!$C$19:$BJ$19)</f>
        <v/>
      </c>
      <c r="E18" s="3">
        <f>SUMIF(M_Cons!$C$4:$BJ$4,3,M_Cons!$C$19:$BJ$19)</f>
        <v/>
      </c>
      <c r="F18" s="3">
        <f>SUMIF(M_Cons!$C$4:$BJ$4,4,M_Cons!$C$19:$BJ$19)</f>
        <v/>
      </c>
      <c r="G18" s="3">
        <f>SUMIF(M_Cons!$C$4:$BJ$4,5,M_Cons!$C$19:$BJ$19)</f>
        <v/>
      </c>
    </row>
    <row r="19">
      <c r="A19" t="inlineStr">
        <is>
          <t>Other fixed + land tax</t>
        </is>
      </c>
      <c r="C19" s="3">
        <f>SUMIF(M_Cons!$C$4:$BJ$4,1,M_Cons!$C$25:$BJ$25)</f>
        <v/>
      </c>
      <c r="D19" s="3">
        <f>SUMIF(M_Cons!$C$4:$BJ$4,2,M_Cons!$C$25:$BJ$25)</f>
        <v/>
      </c>
      <c r="E19" s="3">
        <f>SUMIF(M_Cons!$C$4:$BJ$4,3,M_Cons!$C$25:$BJ$25)</f>
        <v/>
      </c>
      <c r="F19" s="3">
        <f>SUMIF(M_Cons!$C$4:$BJ$4,4,M_Cons!$C$25:$BJ$25)</f>
        <v/>
      </c>
      <c r="G19" s="3">
        <f>SUMIF(M_Cons!$C$4:$BJ$4,5,M_Cons!$C$25:$BJ$25)</f>
        <v/>
      </c>
    </row>
    <row r="20">
      <c r="A20" t="inlineStr">
        <is>
          <t>Total operating costs</t>
        </is>
      </c>
      <c r="C20" s="3">
        <f>SUMIF(M_Cons!$C$4:$BJ$4,1,M_Cons!$C$26:$BJ$26)</f>
        <v/>
      </c>
      <c r="D20" s="3">
        <f>SUMIF(M_Cons!$C$4:$BJ$4,2,M_Cons!$C$26:$BJ$26)</f>
        <v/>
      </c>
      <c r="E20" s="3">
        <f>SUMIF(M_Cons!$C$4:$BJ$4,3,M_Cons!$C$26:$BJ$26)</f>
        <v/>
      </c>
      <c r="F20" s="3">
        <f>SUMIF(M_Cons!$C$4:$BJ$4,4,M_Cons!$C$26:$BJ$26)</f>
        <v/>
      </c>
      <c r="G20" s="3">
        <f>SUMIF(M_Cons!$C$4:$BJ$4,5,M_Cons!$C$26:$BJ$26)</f>
        <v/>
      </c>
    </row>
    <row r="21">
      <c r="A21" s="18" t="inlineStr">
        <is>
          <t>EBITDA</t>
        </is>
      </c>
      <c r="C21" s="3">
        <f>SUMIF(M_Cons!$C$4:$BJ$4,1,M_Cons!$C$27:$BJ$27)</f>
        <v/>
      </c>
      <c r="D21" s="3">
        <f>SUMIF(M_Cons!$C$4:$BJ$4,2,M_Cons!$C$27:$BJ$27)</f>
        <v/>
      </c>
      <c r="E21" s="3">
        <f>SUMIF(M_Cons!$C$4:$BJ$4,3,M_Cons!$C$27:$BJ$27)</f>
        <v/>
      </c>
      <c r="F21" s="3">
        <f>SUMIF(M_Cons!$C$4:$BJ$4,4,M_Cons!$C$27:$BJ$27)</f>
        <v/>
      </c>
      <c r="G21" s="3">
        <f>SUMIF(M_Cons!$C$4:$BJ$4,5,M_Cons!$C$27:$BJ$27)</f>
        <v/>
      </c>
    </row>
    <row r="22">
      <c r="A22" t="inlineStr">
        <is>
          <t>EBITDA margin %</t>
        </is>
      </c>
      <c r="C22" s="6">
        <f>IFERROR(C21/C8,0)</f>
        <v/>
      </c>
      <c r="D22" s="6">
        <f>IFERROR(D21/D8,0)</f>
        <v/>
      </c>
      <c r="E22" s="6">
        <f>IFERROR(E21/E8,0)</f>
        <v/>
      </c>
      <c r="F22" s="6">
        <f>IFERROR(F21/F8,0)</f>
        <v/>
      </c>
      <c r="G22" s="6">
        <f>IFERROR(G21/G8,0)</f>
        <v/>
      </c>
    </row>
    <row r="23">
      <c r="A23" t="inlineStr">
        <is>
          <t>Depreciation</t>
        </is>
      </c>
      <c r="C23" s="3">
        <f>SUMIF(M_Cons!$C$4:$BJ$4,1,M_Cons!$C$28:$BJ$28)</f>
        <v/>
      </c>
      <c r="D23" s="3">
        <f>SUMIF(M_Cons!$C$4:$BJ$4,2,M_Cons!$C$28:$BJ$28)</f>
        <v/>
      </c>
      <c r="E23" s="3">
        <f>SUMIF(M_Cons!$C$4:$BJ$4,3,M_Cons!$C$28:$BJ$28)</f>
        <v/>
      </c>
      <c r="F23" s="3">
        <f>SUMIF(M_Cons!$C$4:$BJ$4,4,M_Cons!$C$28:$BJ$28)</f>
        <v/>
      </c>
      <c r="G23" s="3">
        <f>SUMIF(M_Cons!$C$4:$BJ$4,5,M_Cons!$C$28:$BJ$28)</f>
        <v/>
      </c>
    </row>
    <row r="24">
      <c r="A24" t="inlineStr">
        <is>
          <t>EBIT</t>
        </is>
      </c>
      <c r="C24" s="3">
        <f>SUMIF(M_Cons!$C$4:$BJ$4,1,M_Cons!$C$29:$BJ$29)</f>
        <v/>
      </c>
      <c r="D24" s="3">
        <f>SUMIF(M_Cons!$C$4:$BJ$4,2,M_Cons!$C$29:$BJ$29)</f>
        <v/>
      </c>
      <c r="E24" s="3">
        <f>SUMIF(M_Cons!$C$4:$BJ$4,3,M_Cons!$C$29:$BJ$29)</f>
        <v/>
      </c>
      <c r="F24" s="3">
        <f>SUMIF(M_Cons!$C$4:$BJ$4,4,M_Cons!$C$29:$BJ$29)</f>
        <v/>
      </c>
      <c r="G24" s="3">
        <f>SUMIF(M_Cons!$C$4:$BJ$4,5,M_Cons!$C$29:$BJ$29)</f>
        <v/>
      </c>
    </row>
    <row r="25">
      <c r="A25" t="inlineStr">
        <is>
          <t>Loss carried forward (opening)</t>
        </is>
      </c>
      <c r="C25" s="3">
        <f>0</f>
        <v/>
      </c>
      <c r="D25" s="3">
        <f>MAX(0,C25-C24)</f>
        <v/>
      </c>
      <c r="E25" s="3">
        <f>MAX(0,D25-D24)</f>
        <v/>
      </c>
      <c r="F25" s="3">
        <f>MAX(0,E25-E24)</f>
        <v/>
      </c>
      <c r="G25" s="3">
        <f>MAX(0,F25-F24)</f>
        <v/>
      </c>
    </row>
    <row r="26">
      <c r="A26" t="inlineStr">
        <is>
          <t>Taxable profit</t>
        </is>
      </c>
      <c r="C26" s="3">
        <f>MAX(0,C24-C25)</f>
        <v/>
      </c>
      <c r="D26" s="3">
        <f>MAX(0,D24-D25)</f>
        <v/>
      </c>
      <c r="E26" s="3">
        <f>MAX(0,E24-E25)</f>
        <v/>
      </c>
      <c r="F26" s="3">
        <f>MAX(0,F24-F25)</f>
        <v/>
      </c>
      <c r="G26" s="3">
        <f>MAX(0,G24-G25)</f>
        <v/>
      </c>
    </row>
    <row r="27">
      <c r="A27" t="inlineStr">
        <is>
          <t>Profit tax</t>
        </is>
      </c>
      <c r="C27" s="3">
        <f>C26*Inputs!$D$11</f>
        <v/>
      </c>
      <c r="D27" s="3">
        <f>D26*Inputs!$D$11</f>
        <v/>
      </c>
      <c r="E27" s="3">
        <f>E26*Inputs!$D$11</f>
        <v/>
      </c>
      <c r="F27" s="3">
        <f>F26*Inputs!$D$11</f>
        <v/>
      </c>
      <c r="G27" s="3">
        <f>G26*Inputs!$D$11</f>
        <v/>
      </c>
    </row>
    <row r="28">
      <c r="A28" s="18" t="inlineStr">
        <is>
          <t>Net income</t>
        </is>
      </c>
      <c r="C28" s="3">
        <f>C24-C27</f>
        <v/>
      </c>
      <c r="D28" s="3">
        <f>D24-D27</f>
        <v/>
      </c>
      <c r="E28" s="3">
        <f>E24-E27</f>
        <v/>
      </c>
      <c r="F28" s="3">
        <f>F24-F27</f>
        <v/>
      </c>
      <c r="G28" s="3">
        <f>G24-G27</f>
        <v/>
      </c>
    </row>
    <row r="29">
      <c r="A29" t="inlineStr">
        <is>
          <t>Net margin %</t>
        </is>
      </c>
      <c r="C29" s="6">
        <f>IFERROR(C28/C8,0)</f>
        <v/>
      </c>
      <c r="D29" s="6">
        <f>IFERROR(D28/D8,0)</f>
        <v/>
      </c>
      <c r="E29" s="6">
        <f>IFERROR(E28/E8,0)</f>
        <v/>
      </c>
      <c r="F29" s="6">
        <f>IFERROR(F28/F8,0)</f>
        <v/>
      </c>
      <c r="G29" s="6">
        <f>IFERROR(G28/G8,0)</f>
        <v/>
      </c>
    </row>
    <row r="30">
      <c r="A30" t="inlineStr">
        <is>
          <t>Maintenance capex</t>
        </is>
      </c>
      <c r="C30" s="3">
        <f>0</f>
        <v/>
      </c>
      <c r="D30" s="3">
        <f>D8*Inputs!$D$72</f>
        <v/>
      </c>
      <c r="E30" s="3">
        <f>E8*Inputs!$D$72</f>
        <v/>
      </c>
      <c r="F30" s="3">
        <f>F8*Inputs!$D$72</f>
        <v/>
      </c>
      <c r="G30" s="3">
        <f>G8*Inputs!$D$72</f>
        <v/>
      </c>
    </row>
    <row r="31">
      <c r="A31" t="inlineStr">
        <is>
          <t>Working capital (closing)</t>
        </is>
      </c>
      <c r="C31" s="3">
        <f>C9*Inputs!$D$73/365</f>
        <v/>
      </c>
      <c r="D31" s="3">
        <f>D9*Inputs!$D$73/365</f>
        <v/>
      </c>
      <c r="E31" s="3">
        <f>E9*Inputs!$D$73/365</f>
        <v/>
      </c>
      <c r="F31" s="3">
        <f>F9*Inputs!$D$73/365</f>
        <v/>
      </c>
      <c r="G31" s="3">
        <f>G9*Inputs!$D$73/365</f>
        <v/>
      </c>
    </row>
    <row r="32">
      <c r="A32" t="inlineStr">
        <is>
          <t>Δ Working capital</t>
        </is>
      </c>
      <c r="C32" s="3">
        <f>C31</f>
        <v/>
      </c>
      <c r="D32" s="3">
        <f>D31-C31</f>
        <v/>
      </c>
      <c r="E32" s="3">
        <f>E31-D31</f>
        <v/>
      </c>
      <c r="F32" s="3">
        <f>F31-E31</f>
        <v/>
      </c>
      <c r="G32" s="3">
        <f>G31-F31</f>
        <v/>
      </c>
    </row>
    <row r="33">
      <c r="A33" t="inlineStr">
        <is>
          <t>Operating cash flow</t>
        </is>
      </c>
      <c r="C33" s="3">
        <f>C21-C27-C32</f>
        <v/>
      </c>
      <c r="D33" s="3">
        <f>D21-D27-D32</f>
        <v/>
      </c>
      <c r="E33" s="3">
        <f>E21-E27-E32</f>
        <v/>
      </c>
      <c r="F33" s="3">
        <f>F21-F27-F32</f>
        <v/>
      </c>
      <c r="G33" s="3">
        <f>G21-G27-G32</f>
        <v/>
      </c>
    </row>
    <row r="34">
      <c r="A34" s="18" t="inlineStr">
        <is>
          <t>Free cash flow</t>
        </is>
      </c>
      <c r="C34" s="3">
        <f>C33-C30</f>
        <v/>
      </c>
      <c r="D34" s="3">
        <f>D33-D30</f>
        <v/>
      </c>
      <c r="E34" s="3">
        <f>E33-E30</f>
        <v/>
      </c>
      <c r="F34" s="3">
        <f>F33-F30</f>
        <v/>
      </c>
      <c r="G34" s="3">
        <f>G33-G30</f>
        <v/>
      </c>
    </row>
    <row r="35">
      <c r="A35" t="inlineStr">
        <is>
          <t>Cumulative FCF after investment</t>
        </is>
      </c>
      <c r="C35" s="3">
        <f>-INDEX(Capex!$C$15:$E$15,1,Inputs!$E$13)+C34</f>
        <v/>
      </c>
      <c r="D35" s="3">
        <f>C35+D34</f>
        <v/>
      </c>
      <c r="E35" s="3">
        <f>D35+E34</f>
        <v/>
      </c>
      <c r="F35" s="3">
        <f>E35+F34</f>
        <v/>
      </c>
      <c r="G35" s="3">
        <f>F35+G34</f>
        <v/>
      </c>
    </row>
    <row r="37">
      <c r="A37" s="18" t="inlineStr">
        <is>
          <t>Total investment (capex + pre-opening)</t>
        </is>
      </c>
      <c r="C37" s="3">
        <f>INDEX(Capex!$C$15:$E$15,1,Inputs!$E$13)</f>
        <v/>
      </c>
    </row>
    <row r="38">
      <c r="A38" s="18" t="inlineStr">
        <is>
          <t>Total investment (USD)</t>
        </is>
      </c>
      <c r="C38" s="4">
        <f>INDEX(Capex!$C$15:$E$15,1,Inputs!$E$13)/Inputs!$D$7</f>
        <v/>
      </c>
    </row>
    <row r="39">
      <c r="A39" s="18" t="inlineStr">
        <is>
          <t>Payback (months from opening)</t>
        </is>
      </c>
      <c r="C39" s="3">
        <f>IF(MIN(M_Cons!$C$32:$BJ$32)&gt;60,"&gt; 60",MIN(M_Cons!$C$32:$BJ$32))</f>
        <v/>
      </c>
    </row>
    <row r="40">
      <c r="A40" s="18" t="inlineStr">
        <is>
          <t>Residual value end-Y5 (book value of fixed assets)</t>
        </is>
      </c>
      <c r="C40" s="3">
        <f>INDEX(Capex!$C$19:$E$19,1,Inputs!$E$13)*MAX(0,1-5/MAX(Inputs!$E$84,0.0001))*(Inputs!$E$84&gt;0)+INDEX(Capex!$C$20:$E$20,1,Inputs!$E$13)*MAX(0,1-5/MAX(Inputs!$E$85,0.0001))*(Inputs!$E$85&gt;0)+INDEX(Capex!$C$21:$E$21,1,Inputs!$E$13)*MAX(0,1-5/MAX(Inputs!$E$86,0.0001))*(Inputs!$E$86&gt;0)+INDEX(Capex!$C$22:$E$22,1,Inputs!$E$13)*MAX(0,1-5/MAX(Inputs!$E$87,0.0001))*(Inputs!$E$87&gt;0)+INDEX(Capex!$C$23:$E$23,1,Inputs!$E$13)*MAX(0,1-5/MAX(Inputs!$E$88,0.0001))*(Inputs!$E$88&gt;0)+INDEX(Capex!$C$24:$E$24,1,Inputs!$E$13)*MAX(0,1-5/MAX(Inputs!$E$89,0.0001))*(Inputs!$E$89&gt;0)+INDEX(Capex!$C$25:$E$25,1,Inputs!$E$13)*MAX(0,1-5/MAX(Inputs!$E$90,0.0001))*(Inputs!$E$90&gt;0)</f>
        <v/>
      </c>
    </row>
    <row r="41">
      <c r="A41" s="18" t="inlineStr">
        <is>
          <t>NPV @ discount rate (5 yrs + residual)</t>
        </is>
      </c>
      <c r="C41" s="3">
        <f>C47+NPV(Inputs!$D$12,D47:H47)</f>
        <v/>
      </c>
    </row>
    <row r="42">
      <c r="A42" s="18" t="inlineStr">
        <is>
          <t>IRR (5 yrs + residual)</t>
        </is>
      </c>
      <c r="C42" s="6">
        <f>IFERROR(IRR(C47:H47),"n/a")</f>
        <v/>
      </c>
    </row>
    <row r="43">
      <c r="A43" s="18" t="inlineStr">
        <is>
          <t>IRR (5 yrs, no residual)</t>
        </is>
      </c>
      <c r="C43" s="6">
        <f>IFERROR(IRR(C48:H48),"n/a")</f>
        <v/>
      </c>
    </row>
    <row r="44">
      <c r="A44" s="18" t="inlineStr">
        <is>
          <t>ROIC Year 3 (NOPAT / investment)</t>
        </is>
      </c>
      <c r="C44" s="6">
        <f>G24*0+E24*(1-Inputs!$D$11)/INDEX(Capex!$C$15:$E$15,1,Inputs!$E$13)</f>
        <v/>
      </c>
    </row>
    <row r="45">
      <c r="A45" s="18" t="inlineStr">
        <is>
          <t>Year-3 EBITDA (USD)</t>
        </is>
      </c>
      <c r="C45" s="4">
        <f>E21/Inputs!$D$7</f>
        <v/>
      </c>
    </row>
    <row r="47">
      <c r="A47" t="inlineStr">
        <is>
          <t>Cash flows for IRR: Y0 … Y5 (+ residual in Y5)</t>
        </is>
      </c>
      <c r="C47" s="3">
        <f>-INDEX(Capex!$C$15:$E$15,1,Inputs!$E$13)</f>
        <v/>
      </c>
      <c r="D47" s="3">
        <f>C34</f>
        <v/>
      </c>
      <c r="E47" s="3">
        <f>D34</f>
        <v/>
      </c>
      <c r="F47" s="3">
        <f>E34</f>
        <v/>
      </c>
      <c r="G47" s="3">
        <f>F34</f>
        <v/>
      </c>
      <c r="H47" s="3">
        <f>G34+C40</f>
        <v/>
      </c>
    </row>
    <row r="48">
      <c r="A48" t="inlineStr">
        <is>
          <t>Cash flows (no residual)</t>
        </is>
      </c>
      <c r="C48" s="3">
        <f>-INDEX(Capex!$C$15:$E$15,1,Inputs!$E$13)</f>
        <v/>
      </c>
      <c r="D48" s="3">
        <f>C34</f>
        <v/>
      </c>
      <c r="E48" s="3">
        <f>D34</f>
        <v/>
      </c>
      <c r="F48" s="3">
        <f>E34</f>
        <v/>
      </c>
      <c r="G48" s="3">
        <f>F34</f>
        <v/>
      </c>
      <c r="H48" s="3">
        <f>G34</f>
        <v/>
      </c>
    </row>
    <row r="51">
      <c r="A51" s="16" t="inlineStr">
        <is>
          <t>BASE SCENARIO</t>
        </is>
      </c>
      <c r="C51" s="17" t="inlineStr">
        <is>
          <t>Year 1</t>
        </is>
      </c>
      <c r="D51" s="17" t="inlineStr">
        <is>
          <t>Year 2</t>
        </is>
      </c>
      <c r="E51" s="17" t="inlineStr">
        <is>
          <t>Year 3</t>
        </is>
      </c>
      <c r="F51" s="17" t="inlineStr">
        <is>
          <t>Year 4</t>
        </is>
      </c>
      <c r="G51" s="17" t="inlineStr">
        <is>
          <t>Year 5</t>
        </is>
      </c>
    </row>
    <row r="52">
      <c r="A52" t="inlineStr">
        <is>
          <t>Transactions (year)</t>
        </is>
      </c>
      <c r="C52" s="5">
        <f>SUMPRODUCT((M_Base!$C$4:$BJ$4=1)*M_Base!$C$11:$BJ$11*M_Base!$C$6:$BJ$6)</f>
        <v/>
      </c>
      <c r="D52" s="5">
        <f>SUMPRODUCT((M_Base!$C$4:$BJ$4=2)*M_Base!$C$11:$BJ$11*M_Base!$C$6:$BJ$6)</f>
        <v/>
      </c>
      <c r="E52" s="5">
        <f>SUMPRODUCT((M_Base!$C$4:$BJ$4=3)*M_Base!$C$11:$BJ$11*M_Base!$C$6:$BJ$6)</f>
        <v/>
      </c>
      <c r="F52" s="5">
        <f>SUMPRODUCT((M_Base!$C$4:$BJ$4=4)*M_Base!$C$11:$BJ$11*M_Base!$C$6:$BJ$6)</f>
        <v/>
      </c>
      <c r="G52" s="5">
        <f>SUMPRODUCT((M_Base!$C$4:$BJ$4=5)*M_Base!$C$11:$BJ$11*M_Base!$C$6:$BJ$6)</f>
        <v/>
      </c>
    </row>
    <row r="53">
      <c r="A53" t="inlineStr">
        <is>
          <t>Transactions / day (avg)</t>
        </is>
      </c>
      <c r="C53" s="5">
        <f>C52/SUMIF(M_Base!$C$4:$BJ$4,1,M_Base!$C$6:$BJ$6)</f>
        <v/>
      </c>
      <c r="D53" s="5">
        <f>D52/SUMIF(M_Base!$C$4:$BJ$4,2,M_Base!$C$6:$BJ$6)</f>
        <v/>
      </c>
      <c r="E53" s="5">
        <f>E52/SUMIF(M_Base!$C$4:$BJ$4,3,M_Base!$C$6:$BJ$6)</f>
        <v/>
      </c>
      <c r="F53" s="5">
        <f>F52/SUMIF(M_Base!$C$4:$BJ$4,4,M_Base!$C$6:$BJ$6)</f>
        <v/>
      </c>
      <c r="G53" s="5">
        <f>G52/SUMIF(M_Base!$C$4:$BJ$4,5,M_Base!$C$6:$BJ$6)</f>
        <v/>
      </c>
    </row>
    <row r="54">
      <c r="A54" t="inlineStr">
        <is>
          <t>Average ticket (AMD incl. VAT)</t>
        </is>
      </c>
      <c r="C54" s="5">
        <f>C55/C52</f>
        <v/>
      </c>
      <c r="D54" s="5">
        <f>D55/D52</f>
        <v/>
      </c>
      <c r="E54" s="5">
        <f>E55/E52</f>
        <v/>
      </c>
      <c r="F54" s="5">
        <f>F55/F52</f>
        <v/>
      </c>
      <c r="G54" s="5">
        <f>G55/G52</f>
        <v/>
      </c>
    </row>
    <row r="55">
      <c r="A55" t="inlineStr">
        <is>
          <t>Gross sales (incl. VAT)</t>
        </is>
      </c>
      <c r="C55" s="3">
        <f>SUMIF(M_Base!$C$4:$BJ$4,1,M_Base!$C$13:$BJ$13)</f>
        <v/>
      </c>
      <c r="D55" s="3">
        <f>SUMIF(M_Base!$C$4:$BJ$4,2,M_Base!$C$13:$BJ$13)</f>
        <v/>
      </c>
      <c r="E55" s="3">
        <f>SUMIF(M_Base!$C$4:$BJ$4,3,M_Base!$C$13:$BJ$13)</f>
        <v/>
      </c>
      <c r="F55" s="3">
        <f>SUMIF(M_Base!$C$4:$BJ$4,4,M_Base!$C$13:$BJ$13)</f>
        <v/>
      </c>
      <c r="G55" s="3">
        <f>SUMIF(M_Base!$C$4:$BJ$4,5,M_Base!$C$13:$BJ$13)</f>
        <v/>
      </c>
    </row>
    <row r="56">
      <c r="A56" s="18" t="inlineStr">
        <is>
          <t>Net sales (excl. VAT)</t>
        </is>
      </c>
      <c r="C56" s="3">
        <f>SUMIF(M_Base!$C$4:$BJ$4,1,M_Base!$C$14:$BJ$14)</f>
        <v/>
      </c>
      <c r="D56" s="3">
        <f>SUMIF(M_Base!$C$4:$BJ$4,2,M_Base!$C$14:$BJ$14)</f>
        <v/>
      </c>
      <c r="E56" s="3">
        <f>SUMIF(M_Base!$C$4:$BJ$4,3,M_Base!$C$14:$BJ$14)</f>
        <v/>
      </c>
      <c r="F56" s="3">
        <f>SUMIF(M_Base!$C$4:$BJ$4,4,M_Base!$C$14:$BJ$14)</f>
        <v/>
      </c>
      <c r="G56" s="3">
        <f>SUMIF(M_Base!$C$4:$BJ$4,5,M_Base!$C$14:$BJ$14)</f>
        <v/>
      </c>
    </row>
    <row r="57">
      <c r="A57" t="inlineStr">
        <is>
          <t>COGS + waste</t>
        </is>
      </c>
      <c r="C57" s="3">
        <f>SUMIF(M_Base!$C$4:$BJ$4,1,M_Base!$C$15:$BJ$15)</f>
        <v/>
      </c>
      <c r="D57" s="3">
        <f>SUMIF(M_Base!$C$4:$BJ$4,2,M_Base!$C$15:$BJ$15)</f>
        <v/>
      </c>
      <c r="E57" s="3">
        <f>SUMIF(M_Base!$C$4:$BJ$4,3,M_Base!$C$15:$BJ$15)</f>
        <v/>
      </c>
      <c r="F57" s="3">
        <f>SUMIF(M_Base!$C$4:$BJ$4,4,M_Base!$C$15:$BJ$15)</f>
        <v/>
      </c>
      <c r="G57" s="3">
        <f>SUMIF(M_Base!$C$4:$BJ$4,5,M_Base!$C$15:$BJ$15)</f>
        <v/>
      </c>
    </row>
    <row r="58">
      <c r="A58" t="inlineStr">
        <is>
          <t>Gross profit</t>
        </is>
      </c>
      <c r="C58" s="3">
        <f>C56-C57</f>
        <v/>
      </c>
      <c r="D58" s="3">
        <f>D56-D57</f>
        <v/>
      </c>
      <c r="E58" s="3">
        <f>E56-E57</f>
        <v/>
      </c>
      <c r="F58" s="3">
        <f>F56-F57</f>
        <v/>
      </c>
      <c r="G58" s="3">
        <f>G56-G57</f>
        <v/>
      </c>
    </row>
    <row r="59">
      <c r="A59" t="inlineStr">
        <is>
          <t>Gross margin %</t>
        </is>
      </c>
      <c r="C59" s="6">
        <f>IFERROR(C58/C56,0)</f>
        <v/>
      </c>
      <c r="D59" s="6">
        <f>IFERROR(D58/D56,0)</f>
        <v/>
      </c>
      <c r="E59" s="6">
        <f>IFERROR(E58/E56,0)</f>
        <v/>
      </c>
      <c r="F59" s="6">
        <f>IFERROR(F58/F56,0)</f>
        <v/>
      </c>
      <c r="G59" s="6">
        <f>IFERROR(G58/G56,0)</f>
        <v/>
      </c>
    </row>
    <row r="60">
      <c r="A60" t="inlineStr">
        <is>
          <t>Labour</t>
        </is>
      </c>
      <c r="C60" s="3">
        <f>SUMIF(M_Base!$C$4:$BJ$4,1,M_Base!$C$23:$BJ$23)</f>
        <v/>
      </c>
      <c r="D60" s="3">
        <f>SUMIF(M_Base!$C$4:$BJ$4,2,M_Base!$C$23:$BJ$23)</f>
        <v/>
      </c>
      <c r="E60" s="3">
        <f>SUMIF(M_Base!$C$4:$BJ$4,3,M_Base!$C$23:$BJ$23)</f>
        <v/>
      </c>
      <c r="F60" s="3">
        <f>SUMIF(M_Base!$C$4:$BJ$4,4,M_Base!$C$23:$BJ$23)</f>
        <v/>
      </c>
      <c r="G60" s="3">
        <f>SUMIF(M_Base!$C$4:$BJ$4,5,M_Base!$C$23:$BJ$23)</f>
        <v/>
      </c>
    </row>
    <row r="61">
      <c r="A61" t="inlineStr">
        <is>
          <t>Ground rent</t>
        </is>
      </c>
      <c r="C61" s="3">
        <f>SUMIF(M_Base!$C$4:$BJ$4,1,M_Base!$C$24:$BJ$24)</f>
        <v/>
      </c>
      <c r="D61" s="3">
        <f>SUMIF(M_Base!$C$4:$BJ$4,2,M_Base!$C$24:$BJ$24)</f>
        <v/>
      </c>
      <c r="E61" s="3">
        <f>SUMIF(M_Base!$C$4:$BJ$4,3,M_Base!$C$24:$BJ$24)</f>
        <v/>
      </c>
      <c r="F61" s="3">
        <f>SUMIF(M_Base!$C$4:$BJ$4,4,M_Base!$C$24:$BJ$24)</f>
        <v/>
      </c>
      <c r="G61" s="3">
        <f>SUMIF(M_Base!$C$4:$BJ$4,5,M_Base!$C$24:$BJ$24)</f>
        <v/>
      </c>
    </row>
    <row r="62">
      <c r="A62" t="inlineStr">
        <is>
          <t>Utilities</t>
        </is>
      </c>
      <c r="C62" s="3">
        <f>SUMIF(M_Base!$C$4:$BJ$4,1,M_Base!$C$20:$BJ$20)</f>
        <v/>
      </c>
      <c r="D62" s="3">
        <f>SUMIF(M_Base!$C$4:$BJ$4,2,M_Base!$C$20:$BJ$20)</f>
        <v/>
      </c>
      <c r="E62" s="3">
        <f>SUMIF(M_Base!$C$4:$BJ$4,3,M_Base!$C$20:$BJ$20)</f>
        <v/>
      </c>
      <c r="F62" s="3">
        <f>SUMIF(M_Base!$C$4:$BJ$4,4,M_Base!$C$20:$BJ$20)</f>
        <v/>
      </c>
      <c r="G62" s="3">
        <f>SUMIF(M_Base!$C$4:$BJ$4,5,M_Base!$C$20:$BJ$20)</f>
        <v/>
      </c>
    </row>
    <row r="63">
      <c r="A63" t="inlineStr">
        <is>
          <t>Card fees</t>
        </is>
      </c>
      <c r="C63" s="3">
        <f>SUMIF(M_Base!$C$4:$BJ$4,1,M_Base!$C$16:$BJ$16)</f>
        <v/>
      </c>
      <c r="D63" s="3">
        <f>SUMIF(M_Base!$C$4:$BJ$4,2,M_Base!$C$16:$BJ$16)</f>
        <v/>
      </c>
      <c r="E63" s="3">
        <f>SUMIF(M_Base!$C$4:$BJ$4,3,M_Base!$C$16:$BJ$16)</f>
        <v/>
      </c>
      <c r="F63" s="3">
        <f>SUMIF(M_Base!$C$4:$BJ$4,4,M_Base!$C$16:$BJ$16)</f>
        <v/>
      </c>
      <c r="G63" s="3">
        <f>SUMIF(M_Base!$C$4:$BJ$4,5,M_Base!$C$16:$BJ$16)</f>
        <v/>
      </c>
    </row>
    <row r="64">
      <c r="A64" t="inlineStr">
        <is>
          <t>Marketing</t>
        </is>
      </c>
      <c r="C64" s="3">
        <f>SUMIF(M_Base!$C$4:$BJ$4,1,M_Base!$C$17:$BJ$17)</f>
        <v/>
      </c>
      <c r="D64" s="3">
        <f>SUMIF(M_Base!$C$4:$BJ$4,2,M_Base!$C$17:$BJ$17)</f>
        <v/>
      </c>
      <c r="E64" s="3">
        <f>SUMIF(M_Base!$C$4:$BJ$4,3,M_Base!$C$17:$BJ$17)</f>
        <v/>
      </c>
      <c r="F64" s="3">
        <f>SUMIF(M_Base!$C$4:$BJ$4,4,M_Base!$C$17:$BJ$17)</f>
        <v/>
      </c>
      <c r="G64" s="3">
        <f>SUMIF(M_Base!$C$4:$BJ$4,5,M_Base!$C$17:$BJ$17)</f>
        <v/>
      </c>
    </row>
    <row r="65">
      <c r="A65" t="inlineStr">
        <is>
          <t>Repairs &amp; maintenance</t>
        </is>
      </c>
      <c r="C65" s="3">
        <f>SUMIF(M_Base!$C$4:$BJ$4,1,M_Base!$C$18:$BJ$18)</f>
        <v/>
      </c>
      <c r="D65" s="3">
        <f>SUMIF(M_Base!$C$4:$BJ$4,2,M_Base!$C$18:$BJ$18)</f>
        <v/>
      </c>
      <c r="E65" s="3">
        <f>SUMIF(M_Base!$C$4:$BJ$4,3,M_Base!$C$18:$BJ$18)</f>
        <v/>
      </c>
      <c r="F65" s="3">
        <f>SUMIF(M_Base!$C$4:$BJ$4,4,M_Base!$C$18:$BJ$18)</f>
        <v/>
      </c>
      <c r="G65" s="3">
        <f>SUMIF(M_Base!$C$4:$BJ$4,5,M_Base!$C$18:$BJ$18)</f>
        <v/>
      </c>
    </row>
    <row r="66">
      <c r="A66" t="inlineStr">
        <is>
          <t>Other variable</t>
        </is>
      </c>
      <c r="C66" s="3">
        <f>SUMIF(M_Base!$C$4:$BJ$4,1,M_Base!$C$19:$BJ$19)</f>
        <v/>
      </c>
      <c r="D66" s="3">
        <f>SUMIF(M_Base!$C$4:$BJ$4,2,M_Base!$C$19:$BJ$19)</f>
        <v/>
      </c>
      <c r="E66" s="3">
        <f>SUMIF(M_Base!$C$4:$BJ$4,3,M_Base!$C$19:$BJ$19)</f>
        <v/>
      </c>
      <c r="F66" s="3">
        <f>SUMIF(M_Base!$C$4:$BJ$4,4,M_Base!$C$19:$BJ$19)</f>
        <v/>
      </c>
      <c r="G66" s="3">
        <f>SUMIF(M_Base!$C$4:$BJ$4,5,M_Base!$C$19:$BJ$19)</f>
        <v/>
      </c>
    </row>
    <row r="67">
      <c r="A67" t="inlineStr">
        <is>
          <t>Other fixed + land tax</t>
        </is>
      </c>
      <c r="C67" s="3">
        <f>SUMIF(M_Base!$C$4:$BJ$4,1,M_Base!$C$25:$BJ$25)</f>
        <v/>
      </c>
      <c r="D67" s="3">
        <f>SUMIF(M_Base!$C$4:$BJ$4,2,M_Base!$C$25:$BJ$25)</f>
        <v/>
      </c>
      <c r="E67" s="3">
        <f>SUMIF(M_Base!$C$4:$BJ$4,3,M_Base!$C$25:$BJ$25)</f>
        <v/>
      </c>
      <c r="F67" s="3">
        <f>SUMIF(M_Base!$C$4:$BJ$4,4,M_Base!$C$25:$BJ$25)</f>
        <v/>
      </c>
      <c r="G67" s="3">
        <f>SUMIF(M_Base!$C$4:$BJ$4,5,M_Base!$C$25:$BJ$25)</f>
        <v/>
      </c>
    </row>
    <row r="68">
      <c r="A68" t="inlineStr">
        <is>
          <t>Total operating costs</t>
        </is>
      </c>
      <c r="C68" s="3">
        <f>SUMIF(M_Base!$C$4:$BJ$4,1,M_Base!$C$26:$BJ$26)</f>
        <v/>
      </c>
      <c r="D68" s="3">
        <f>SUMIF(M_Base!$C$4:$BJ$4,2,M_Base!$C$26:$BJ$26)</f>
        <v/>
      </c>
      <c r="E68" s="3">
        <f>SUMIF(M_Base!$C$4:$BJ$4,3,M_Base!$C$26:$BJ$26)</f>
        <v/>
      </c>
      <c r="F68" s="3">
        <f>SUMIF(M_Base!$C$4:$BJ$4,4,M_Base!$C$26:$BJ$26)</f>
        <v/>
      </c>
      <c r="G68" s="3">
        <f>SUMIF(M_Base!$C$4:$BJ$4,5,M_Base!$C$26:$BJ$26)</f>
        <v/>
      </c>
    </row>
    <row r="69">
      <c r="A69" s="18" t="inlineStr">
        <is>
          <t>EBITDA</t>
        </is>
      </c>
      <c r="C69" s="3">
        <f>SUMIF(M_Base!$C$4:$BJ$4,1,M_Base!$C$27:$BJ$27)</f>
        <v/>
      </c>
      <c r="D69" s="3">
        <f>SUMIF(M_Base!$C$4:$BJ$4,2,M_Base!$C$27:$BJ$27)</f>
        <v/>
      </c>
      <c r="E69" s="3">
        <f>SUMIF(M_Base!$C$4:$BJ$4,3,M_Base!$C$27:$BJ$27)</f>
        <v/>
      </c>
      <c r="F69" s="3">
        <f>SUMIF(M_Base!$C$4:$BJ$4,4,M_Base!$C$27:$BJ$27)</f>
        <v/>
      </c>
      <c r="G69" s="3">
        <f>SUMIF(M_Base!$C$4:$BJ$4,5,M_Base!$C$27:$BJ$27)</f>
        <v/>
      </c>
    </row>
    <row r="70">
      <c r="A70" t="inlineStr">
        <is>
          <t>EBITDA margin %</t>
        </is>
      </c>
      <c r="C70" s="6">
        <f>IFERROR(C69/C56,0)</f>
        <v/>
      </c>
      <c r="D70" s="6">
        <f>IFERROR(D69/D56,0)</f>
        <v/>
      </c>
      <c r="E70" s="6">
        <f>IFERROR(E69/E56,0)</f>
        <v/>
      </c>
      <c r="F70" s="6">
        <f>IFERROR(F69/F56,0)</f>
        <v/>
      </c>
      <c r="G70" s="6">
        <f>IFERROR(G69/G56,0)</f>
        <v/>
      </c>
    </row>
    <row r="71">
      <c r="A71" t="inlineStr">
        <is>
          <t>Depreciation</t>
        </is>
      </c>
      <c r="C71" s="3">
        <f>SUMIF(M_Base!$C$4:$BJ$4,1,M_Base!$C$28:$BJ$28)</f>
        <v/>
      </c>
      <c r="D71" s="3">
        <f>SUMIF(M_Base!$C$4:$BJ$4,2,M_Base!$C$28:$BJ$28)</f>
        <v/>
      </c>
      <c r="E71" s="3">
        <f>SUMIF(M_Base!$C$4:$BJ$4,3,M_Base!$C$28:$BJ$28)</f>
        <v/>
      </c>
      <c r="F71" s="3">
        <f>SUMIF(M_Base!$C$4:$BJ$4,4,M_Base!$C$28:$BJ$28)</f>
        <v/>
      </c>
      <c r="G71" s="3">
        <f>SUMIF(M_Base!$C$4:$BJ$4,5,M_Base!$C$28:$BJ$28)</f>
        <v/>
      </c>
    </row>
    <row r="72">
      <c r="A72" t="inlineStr">
        <is>
          <t>EBIT</t>
        </is>
      </c>
      <c r="C72" s="3">
        <f>SUMIF(M_Base!$C$4:$BJ$4,1,M_Base!$C$29:$BJ$29)</f>
        <v/>
      </c>
      <c r="D72" s="3">
        <f>SUMIF(M_Base!$C$4:$BJ$4,2,M_Base!$C$29:$BJ$29)</f>
        <v/>
      </c>
      <c r="E72" s="3">
        <f>SUMIF(M_Base!$C$4:$BJ$4,3,M_Base!$C$29:$BJ$29)</f>
        <v/>
      </c>
      <c r="F72" s="3">
        <f>SUMIF(M_Base!$C$4:$BJ$4,4,M_Base!$C$29:$BJ$29)</f>
        <v/>
      </c>
      <c r="G72" s="3">
        <f>SUMIF(M_Base!$C$4:$BJ$4,5,M_Base!$C$29:$BJ$29)</f>
        <v/>
      </c>
    </row>
    <row r="73">
      <c r="A73" t="inlineStr">
        <is>
          <t>Loss carried forward (opening)</t>
        </is>
      </c>
      <c r="C73" s="3">
        <f>0</f>
        <v/>
      </c>
      <c r="D73" s="3">
        <f>MAX(0,C73-C72)</f>
        <v/>
      </c>
      <c r="E73" s="3">
        <f>MAX(0,D73-D72)</f>
        <v/>
      </c>
      <c r="F73" s="3">
        <f>MAX(0,E73-E72)</f>
        <v/>
      </c>
      <c r="G73" s="3">
        <f>MAX(0,F73-F72)</f>
        <v/>
      </c>
    </row>
    <row r="74">
      <c r="A74" t="inlineStr">
        <is>
          <t>Taxable profit</t>
        </is>
      </c>
      <c r="C74" s="3">
        <f>MAX(0,C72-C73)</f>
        <v/>
      </c>
      <c r="D74" s="3">
        <f>MAX(0,D72-D73)</f>
        <v/>
      </c>
      <c r="E74" s="3">
        <f>MAX(0,E72-E73)</f>
        <v/>
      </c>
      <c r="F74" s="3">
        <f>MAX(0,F72-F73)</f>
        <v/>
      </c>
      <c r="G74" s="3">
        <f>MAX(0,G72-G73)</f>
        <v/>
      </c>
    </row>
    <row r="75">
      <c r="A75" t="inlineStr">
        <is>
          <t>Profit tax</t>
        </is>
      </c>
      <c r="C75" s="3">
        <f>C74*Inputs!$E$11</f>
        <v/>
      </c>
      <c r="D75" s="3">
        <f>D74*Inputs!$E$11</f>
        <v/>
      </c>
      <c r="E75" s="3">
        <f>E74*Inputs!$E$11</f>
        <v/>
      </c>
      <c r="F75" s="3">
        <f>F74*Inputs!$E$11</f>
        <v/>
      </c>
      <c r="G75" s="3">
        <f>G74*Inputs!$E$11</f>
        <v/>
      </c>
    </row>
    <row r="76">
      <c r="A76" s="18" t="inlineStr">
        <is>
          <t>Net income</t>
        </is>
      </c>
      <c r="C76" s="3">
        <f>C72-C75</f>
        <v/>
      </c>
      <c r="D76" s="3">
        <f>D72-D75</f>
        <v/>
      </c>
      <c r="E76" s="3">
        <f>E72-E75</f>
        <v/>
      </c>
      <c r="F76" s="3">
        <f>F72-F75</f>
        <v/>
      </c>
      <c r="G76" s="3">
        <f>G72-G75</f>
        <v/>
      </c>
    </row>
    <row r="77">
      <c r="A77" t="inlineStr">
        <is>
          <t>Net margin %</t>
        </is>
      </c>
      <c r="C77" s="6">
        <f>IFERROR(C76/C56,0)</f>
        <v/>
      </c>
      <c r="D77" s="6">
        <f>IFERROR(D76/D56,0)</f>
        <v/>
      </c>
      <c r="E77" s="6">
        <f>IFERROR(E76/E56,0)</f>
        <v/>
      </c>
      <c r="F77" s="6">
        <f>IFERROR(F76/F56,0)</f>
        <v/>
      </c>
      <c r="G77" s="6">
        <f>IFERROR(G76/G56,0)</f>
        <v/>
      </c>
    </row>
    <row r="78">
      <c r="A78" t="inlineStr">
        <is>
          <t>Maintenance capex</t>
        </is>
      </c>
      <c r="C78" s="3">
        <f>0</f>
        <v/>
      </c>
      <c r="D78" s="3">
        <f>D56*Inputs!$E$72</f>
        <v/>
      </c>
      <c r="E78" s="3">
        <f>E56*Inputs!$E$72</f>
        <v/>
      </c>
      <c r="F78" s="3">
        <f>F56*Inputs!$E$72</f>
        <v/>
      </c>
      <c r="G78" s="3">
        <f>G56*Inputs!$E$72</f>
        <v/>
      </c>
    </row>
    <row r="79">
      <c r="A79" t="inlineStr">
        <is>
          <t>Working capital (closing)</t>
        </is>
      </c>
      <c r="C79" s="3">
        <f>C57*Inputs!$E$73/365</f>
        <v/>
      </c>
      <c r="D79" s="3">
        <f>D57*Inputs!$E$73/365</f>
        <v/>
      </c>
      <c r="E79" s="3">
        <f>E57*Inputs!$E$73/365</f>
        <v/>
      </c>
      <c r="F79" s="3">
        <f>F57*Inputs!$E$73/365</f>
        <v/>
      </c>
      <c r="G79" s="3">
        <f>G57*Inputs!$E$73/365</f>
        <v/>
      </c>
    </row>
    <row r="80">
      <c r="A80" t="inlineStr">
        <is>
          <t>Δ Working capital</t>
        </is>
      </c>
      <c r="C80" s="3">
        <f>C79</f>
        <v/>
      </c>
      <c r="D80" s="3">
        <f>D79-C79</f>
        <v/>
      </c>
      <c r="E80" s="3">
        <f>E79-D79</f>
        <v/>
      </c>
      <c r="F80" s="3">
        <f>F79-E79</f>
        <v/>
      </c>
      <c r="G80" s="3">
        <f>G79-F79</f>
        <v/>
      </c>
    </row>
    <row r="81">
      <c r="A81" t="inlineStr">
        <is>
          <t>Operating cash flow</t>
        </is>
      </c>
      <c r="C81" s="3">
        <f>C69-C75-C80</f>
        <v/>
      </c>
      <c r="D81" s="3">
        <f>D69-D75-D80</f>
        <v/>
      </c>
      <c r="E81" s="3">
        <f>E69-E75-E80</f>
        <v/>
      </c>
      <c r="F81" s="3">
        <f>F69-F75-F80</f>
        <v/>
      </c>
      <c r="G81" s="3">
        <f>G69-G75-G80</f>
        <v/>
      </c>
    </row>
    <row r="82">
      <c r="A82" s="18" t="inlineStr">
        <is>
          <t>Free cash flow</t>
        </is>
      </c>
      <c r="C82" s="3">
        <f>C81-C78</f>
        <v/>
      </c>
      <c r="D82" s="3">
        <f>D81-D78</f>
        <v/>
      </c>
      <c r="E82" s="3">
        <f>E81-E78</f>
        <v/>
      </c>
      <c r="F82" s="3">
        <f>F81-F78</f>
        <v/>
      </c>
      <c r="G82" s="3">
        <f>G81-G78</f>
        <v/>
      </c>
    </row>
    <row r="83">
      <c r="A83" t="inlineStr">
        <is>
          <t>Cumulative FCF after investment</t>
        </is>
      </c>
      <c r="C83" s="3">
        <f>-INDEX(Capex!$C$15:$E$15,1,Inputs!$E$13)+C82</f>
        <v/>
      </c>
      <c r="D83" s="3">
        <f>C83+D82</f>
        <v/>
      </c>
      <c r="E83" s="3">
        <f>D83+E82</f>
        <v/>
      </c>
      <c r="F83" s="3">
        <f>E83+F82</f>
        <v/>
      </c>
      <c r="G83" s="3">
        <f>F83+G82</f>
        <v/>
      </c>
    </row>
    <row r="85">
      <c r="A85" s="18" t="inlineStr">
        <is>
          <t>Total investment (capex + pre-opening)</t>
        </is>
      </c>
      <c r="C85" s="3">
        <f>INDEX(Capex!$C$15:$E$15,1,Inputs!$E$13)</f>
        <v/>
      </c>
    </row>
    <row r="86">
      <c r="A86" s="18" t="inlineStr">
        <is>
          <t>Total investment (USD)</t>
        </is>
      </c>
      <c r="C86" s="4">
        <f>INDEX(Capex!$C$15:$E$15,1,Inputs!$E$13)/Inputs!$E$7</f>
        <v/>
      </c>
    </row>
    <row r="87">
      <c r="A87" s="18" t="inlineStr">
        <is>
          <t>Payback (months from opening)</t>
        </is>
      </c>
      <c r="C87" s="3">
        <f>IF(MIN(M_Base!$C$32:$BJ$32)&gt;60,"&gt; 60",MIN(M_Base!$C$32:$BJ$32))</f>
        <v/>
      </c>
    </row>
    <row r="88">
      <c r="A88" s="18" t="inlineStr">
        <is>
          <t>Residual value end-Y5 (book value of fixed assets)</t>
        </is>
      </c>
      <c r="C88" s="3">
        <f>INDEX(Capex!$C$19:$E$19,1,Inputs!$E$13)*MAX(0,1-5/MAX(Inputs!$E$84,0.0001))*(Inputs!$E$84&gt;0)+INDEX(Capex!$C$20:$E$20,1,Inputs!$E$13)*MAX(0,1-5/MAX(Inputs!$E$85,0.0001))*(Inputs!$E$85&gt;0)+INDEX(Capex!$C$21:$E$21,1,Inputs!$E$13)*MAX(0,1-5/MAX(Inputs!$E$86,0.0001))*(Inputs!$E$86&gt;0)+INDEX(Capex!$C$22:$E$22,1,Inputs!$E$13)*MAX(0,1-5/MAX(Inputs!$E$87,0.0001))*(Inputs!$E$87&gt;0)+INDEX(Capex!$C$23:$E$23,1,Inputs!$E$13)*MAX(0,1-5/MAX(Inputs!$E$88,0.0001))*(Inputs!$E$88&gt;0)+INDEX(Capex!$C$24:$E$24,1,Inputs!$E$13)*MAX(0,1-5/MAX(Inputs!$E$89,0.0001))*(Inputs!$E$89&gt;0)+INDEX(Capex!$C$25:$E$25,1,Inputs!$E$13)*MAX(0,1-5/MAX(Inputs!$E$90,0.0001))*(Inputs!$E$90&gt;0)</f>
        <v/>
      </c>
    </row>
    <row r="89">
      <c r="A89" s="18" t="inlineStr">
        <is>
          <t>NPV @ discount rate (5 yrs + residual)</t>
        </is>
      </c>
      <c r="C89" s="3">
        <f>C95+NPV(Inputs!$E$12,D95:H95)</f>
        <v/>
      </c>
    </row>
    <row r="90">
      <c r="A90" s="18" t="inlineStr">
        <is>
          <t>IRR (5 yrs + residual)</t>
        </is>
      </c>
      <c r="C90" s="6">
        <f>IFERROR(IRR(C95:H95),"n/a")</f>
        <v/>
      </c>
    </row>
    <row r="91">
      <c r="A91" s="18" t="inlineStr">
        <is>
          <t>IRR (5 yrs, no residual)</t>
        </is>
      </c>
      <c r="C91" s="6">
        <f>IFERROR(IRR(C96:H96),"n/a")</f>
        <v/>
      </c>
    </row>
    <row r="92">
      <c r="A92" s="18" t="inlineStr">
        <is>
          <t>ROIC Year 3 (NOPAT / investment)</t>
        </is>
      </c>
      <c r="C92" s="6">
        <f>G72*0+E72*(1-Inputs!$E$11)/INDEX(Capex!$C$15:$E$15,1,Inputs!$E$13)</f>
        <v/>
      </c>
    </row>
    <row r="93">
      <c r="A93" s="18" t="inlineStr">
        <is>
          <t>Year-3 EBITDA (USD)</t>
        </is>
      </c>
      <c r="C93" s="4">
        <f>E69/Inputs!$E$7</f>
        <v/>
      </c>
    </row>
    <row r="95">
      <c r="A95" t="inlineStr">
        <is>
          <t>Cash flows for IRR: Y0 … Y5 (+ residual in Y5)</t>
        </is>
      </c>
      <c r="C95" s="3">
        <f>-INDEX(Capex!$C$15:$E$15,1,Inputs!$E$13)</f>
        <v/>
      </c>
      <c r="D95" s="3">
        <f>C82</f>
        <v/>
      </c>
      <c r="E95" s="3">
        <f>D82</f>
        <v/>
      </c>
      <c r="F95" s="3">
        <f>E82</f>
        <v/>
      </c>
      <c r="G95" s="3">
        <f>F82</f>
        <v/>
      </c>
      <c r="H95" s="3">
        <f>G82+C88</f>
        <v/>
      </c>
    </row>
    <row r="96">
      <c r="A96" t="inlineStr">
        <is>
          <t>Cash flows (no residual)</t>
        </is>
      </c>
      <c r="C96" s="3">
        <f>-INDEX(Capex!$C$15:$E$15,1,Inputs!$E$13)</f>
        <v/>
      </c>
      <c r="D96" s="3">
        <f>C82</f>
        <v/>
      </c>
      <c r="E96" s="3">
        <f>D82</f>
        <v/>
      </c>
      <c r="F96" s="3">
        <f>E82</f>
        <v/>
      </c>
      <c r="G96" s="3">
        <f>F82</f>
        <v/>
      </c>
      <c r="H96" s="3">
        <f>G82</f>
        <v/>
      </c>
    </row>
    <row r="99">
      <c r="A99" s="16" t="inlineStr">
        <is>
          <t>OPTIMISTIC SCENARIO</t>
        </is>
      </c>
      <c r="C99" s="17" t="inlineStr">
        <is>
          <t>Year 1</t>
        </is>
      </c>
      <c r="D99" s="17" t="inlineStr">
        <is>
          <t>Year 2</t>
        </is>
      </c>
      <c r="E99" s="17" t="inlineStr">
        <is>
          <t>Year 3</t>
        </is>
      </c>
      <c r="F99" s="17" t="inlineStr">
        <is>
          <t>Year 4</t>
        </is>
      </c>
      <c r="G99" s="17" t="inlineStr">
        <is>
          <t>Year 5</t>
        </is>
      </c>
    </row>
    <row r="100">
      <c r="A100" t="inlineStr">
        <is>
          <t>Transactions (year)</t>
        </is>
      </c>
      <c r="C100" s="5">
        <f>SUMPRODUCT((M_Opt!$C$4:$BJ$4=1)*M_Opt!$C$11:$BJ$11*M_Opt!$C$6:$BJ$6)</f>
        <v/>
      </c>
      <c r="D100" s="5">
        <f>SUMPRODUCT((M_Opt!$C$4:$BJ$4=2)*M_Opt!$C$11:$BJ$11*M_Opt!$C$6:$BJ$6)</f>
        <v/>
      </c>
      <c r="E100" s="5">
        <f>SUMPRODUCT((M_Opt!$C$4:$BJ$4=3)*M_Opt!$C$11:$BJ$11*M_Opt!$C$6:$BJ$6)</f>
        <v/>
      </c>
      <c r="F100" s="5">
        <f>SUMPRODUCT((M_Opt!$C$4:$BJ$4=4)*M_Opt!$C$11:$BJ$11*M_Opt!$C$6:$BJ$6)</f>
        <v/>
      </c>
      <c r="G100" s="5">
        <f>SUMPRODUCT((M_Opt!$C$4:$BJ$4=5)*M_Opt!$C$11:$BJ$11*M_Opt!$C$6:$BJ$6)</f>
        <v/>
      </c>
    </row>
    <row r="101">
      <c r="A101" t="inlineStr">
        <is>
          <t>Transactions / day (avg)</t>
        </is>
      </c>
      <c r="C101" s="5">
        <f>C100/SUMIF(M_Opt!$C$4:$BJ$4,1,M_Opt!$C$6:$BJ$6)</f>
        <v/>
      </c>
      <c r="D101" s="5">
        <f>D100/SUMIF(M_Opt!$C$4:$BJ$4,2,M_Opt!$C$6:$BJ$6)</f>
        <v/>
      </c>
      <c r="E101" s="5">
        <f>E100/SUMIF(M_Opt!$C$4:$BJ$4,3,M_Opt!$C$6:$BJ$6)</f>
        <v/>
      </c>
      <c r="F101" s="5">
        <f>F100/SUMIF(M_Opt!$C$4:$BJ$4,4,M_Opt!$C$6:$BJ$6)</f>
        <v/>
      </c>
      <c r="G101" s="5">
        <f>G100/SUMIF(M_Opt!$C$4:$BJ$4,5,M_Opt!$C$6:$BJ$6)</f>
        <v/>
      </c>
    </row>
    <row r="102">
      <c r="A102" t="inlineStr">
        <is>
          <t>Average ticket (AMD incl. VAT)</t>
        </is>
      </c>
      <c r="C102" s="5">
        <f>C103/C100</f>
        <v/>
      </c>
      <c r="D102" s="5">
        <f>D103/D100</f>
        <v/>
      </c>
      <c r="E102" s="5">
        <f>E103/E100</f>
        <v/>
      </c>
      <c r="F102" s="5">
        <f>F103/F100</f>
        <v/>
      </c>
      <c r="G102" s="5">
        <f>G103/G100</f>
        <v/>
      </c>
    </row>
    <row r="103">
      <c r="A103" t="inlineStr">
        <is>
          <t>Gross sales (incl. VAT)</t>
        </is>
      </c>
      <c r="C103" s="3">
        <f>SUMIF(M_Opt!$C$4:$BJ$4,1,M_Opt!$C$13:$BJ$13)</f>
        <v/>
      </c>
      <c r="D103" s="3">
        <f>SUMIF(M_Opt!$C$4:$BJ$4,2,M_Opt!$C$13:$BJ$13)</f>
        <v/>
      </c>
      <c r="E103" s="3">
        <f>SUMIF(M_Opt!$C$4:$BJ$4,3,M_Opt!$C$13:$BJ$13)</f>
        <v/>
      </c>
      <c r="F103" s="3">
        <f>SUMIF(M_Opt!$C$4:$BJ$4,4,M_Opt!$C$13:$BJ$13)</f>
        <v/>
      </c>
      <c r="G103" s="3">
        <f>SUMIF(M_Opt!$C$4:$BJ$4,5,M_Opt!$C$13:$BJ$13)</f>
        <v/>
      </c>
    </row>
    <row r="104">
      <c r="A104" s="18" t="inlineStr">
        <is>
          <t>Net sales (excl. VAT)</t>
        </is>
      </c>
      <c r="C104" s="3">
        <f>SUMIF(M_Opt!$C$4:$BJ$4,1,M_Opt!$C$14:$BJ$14)</f>
        <v/>
      </c>
      <c r="D104" s="3">
        <f>SUMIF(M_Opt!$C$4:$BJ$4,2,M_Opt!$C$14:$BJ$14)</f>
        <v/>
      </c>
      <c r="E104" s="3">
        <f>SUMIF(M_Opt!$C$4:$BJ$4,3,M_Opt!$C$14:$BJ$14)</f>
        <v/>
      </c>
      <c r="F104" s="3">
        <f>SUMIF(M_Opt!$C$4:$BJ$4,4,M_Opt!$C$14:$BJ$14)</f>
        <v/>
      </c>
      <c r="G104" s="3">
        <f>SUMIF(M_Opt!$C$4:$BJ$4,5,M_Opt!$C$14:$BJ$14)</f>
        <v/>
      </c>
    </row>
    <row r="105">
      <c r="A105" t="inlineStr">
        <is>
          <t>COGS + waste</t>
        </is>
      </c>
      <c r="C105" s="3">
        <f>SUMIF(M_Opt!$C$4:$BJ$4,1,M_Opt!$C$15:$BJ$15)</f>
        <v/>
      </c>
      <c r="D105" s="3">
        <f>SUMIF(M_Opt!$C$4:$BJ$4,2,M_Opt!$C$15:$BJ$15)</f>
        <v/>
      </c>
      <c r="E105" s="3">
        <f>SUMIF(M_Opt!$C$4:$BJ$4,3,M_Opt!$C$15:$BJ$15)</f>
        <v/>
      </c>
      <c r="F105" s="3">
        <f>SUMIF(M_Opt!$C$4:$BJ$4,4,M_Opt!$C$15:$BJ$15)</f>
        <v/>
      </c>
      <c r="G105" s="3">
        <f>SUMIF(M_Opt!$C$4:$BJ$4,5,M_Opt!$C$15:$BJ$15)</f>
        <v/>
      </c>
    </row>
    <row r="106">
      <c r="A106" t="inlineStr">
        <is>
          <t>Gross profit</t>
        </is>
      </c>
      <c r="C106" s="3">
        <f>C104-C105</f>
        <v/>
      </c>
      <c r="D106" s="3">
        <f>D104-D105</f>
        <v/>
      </c>
      <c r="E106" s="3">
        <f>E104-E105</f>
        <v/>
      </c>
      <c r="F106" s="3">
        <f>F104-F105</f>
        <v/>
      </c>
      <c r="G106" s="3">
        <f>G104-G105</f>
        <v/>
      </c>
    </row>
    <row r="107">
      <c r="A107" t="inlineStr">
        <is>
          <t>Gross margin %</t>
        </is>
      </c>
      <c r="C107" s="6">
        <f>IFERROR(C106/C104,0)</f>
        <v/>
      </c>
      <c r="D107" s="6">
        <f>IFERROR(D106/D104,0)</f>
        <v/>
      </c>
      <c r="E107" s="6">
        <f>IFERROR(E106/E104,0)</f>
        <v/>
      </c>
      <c r="F107" s="6">
        <f>IFERROR(F106/F104,0)</f>
        <v/>
      </c>
      <c r="G107" s="6">
        <f>IFERROR(G106/G104,0)</f>
        <v/>
      </c>
    </row>
    <row r="108">
      <c r="A108" t="inlineStr">
        <is>
          <t>Labour</t>
        </is>
      </c>
      <c r="C108" s="3">
        <f>SUMIF(M_Opt!$C$4:$BJ$4,1,M_Opt!$C$23:$BJ$23)</f>
        <v/>
      </c>
      <c r="D108" s="3">
        <f>SUMIF(M_Opt!$C$4:$BJ$4,2,M_Opt!$C$23:$BJ$23)</f>
        <v/>
      </c>
      <c r="E108" s="3">
        <f>SUMIF(M_Opt!$C$4:$BJ$4,3,M_Opt!$C$23:$BJ$23)</f>
        <v/>
      </c>
      <c r="F108" s="3">
        <f>SUMIF(M_Opt!$C$4:$BJ$4,4,M_Opt!$C$23:$BJ$23)</f>
        <v/>
      </c>
      <c r="G108" s="3">
        <f>SUMIF(M_Opt!$C$4:$BJ$4,5,M_Opt!$C$23:$BJ$23)</f>
        <v/>
      </c>
    </row>
    <row r="109">
      <c r="A109" t="inlineStr">
        <is>
          <t>Ground rent</t>
        </is>
      </c>
      <c r="C109" s="3">
        <f>SUMIF(M_Opt!$C$4:$BJ$4,1,M_Opt!$C$24:$BJ$24)</f>
        <v/>
      </c>
      <c r="D109" s="3">
        <f>SUMIF(M_Opt!$C$4:$BJ$4,2,M_Opt!$C$24:$BJ$24)</f>
        <v/>
      </c>
      <c r="E109" s="3">
        <f>SUMIF(M_Opt!$C$4:$BJ$4,3,M_Opt!$C$24:$BJ$24)</f>
        <v/>
      </c>
      <c r="F109" s="3">
        <f>SUMIF(M_Opt!$C$4:$BJ$4,4,M_Opt!$C$24:$BJ$24)</f>
        <v/>
      </c>
      <c r="G109" s="3">
        <f>SUMIF(M_Opt!$C$4:$BJ$4,5,M_Opt!$C$24:$BJ$24)</f>
        <v/>
      </c>
    </row>
    <row r="110">
      <c r="A110" t="inlineStr">
        <is>
          <t>Utilities</t>
        </is>
      </c>
      <c r="C110" s="3">
        <f>SUMIF(M_Opt!$C$4:$BJ$4,1,M_Opt!$C$20:$BJ$20)</f>
        <v/>
      </c>
      <c r="D110" s="3">
        <f>SUMIF(M_Opt!$C$4:$BJ$4,2,M_Opt!$C$20:$BJ$20)</f>
        <v/>
      </c>
      <c r="E110" s="3">
        <f>SUMIF(M_Opt!$C$4:$BJ$4,3,M_Opt!$C$20:$BJ$20)</f>
        <v/>
      </c>
      <c r="F110" s="3">
        <f>SUMIF(M_Opt!$C$4:$BJ$4,4,M_Opt!$C$20:$BJ$20)</f>
        <v/>
      </c>
      <c r="G110" s="3">
        <f>SUMIF(M_Opt!$C$4:$BJ$4,5,M_Opt!$C$20:$BJ$20)</f>
        <v/>
      </c>
    </row>
    <row r="111">
      <c r="A111" t="inlineStr">
        <is>
          <t>Card fees</t>
        </is>
      </c>
      <c r="C111" s="3">
        <f>SUMIF(M_Opt!$C$4:$BJ$4,1,M_Opt!$C$16:$BJ$16)</f>
        <v/>
      </c>
      <c r="D111" s="3">
        <f>SUMIF(M_Opt!$C$4:$BJ$4,2,M_Opt!$C$16:$BJ$16)</f>
        <v/>
      </c>
      <c r="E111" s="3">
        <f>SUMIF(M_Opt!$C$4:$BJ$4,3,M_Opt!$C$16:$BJ$16)</f>
        <v/>
      </c>
      <c r="F111" s="3">
        <f>SUMIF(M_Opt!$C$4:$BJ$4,4,M_Opt!$C$16:$BJ$16)</f>
        <v/>
      </c>
      <c r="G111" s="3">
        <f>SUMIF(M_Opt!$C$4:$BJ$4,5,M_Opt!$C$16:$BJ$16)</f>
        <v/>
      </c>
    </row>
    <row r="112">
      <c r="A112" t="inlineStr">
        <is>
          <t>Marketing</t>
        </is>
      </c>
      <c r="C112" s="3">
        <f>SUMIF(M_Opt!$C$4:$BJ$4,1,M_Opt!$C$17:$BJ$17)</f>
        <v/>
      </c>
      <c r="D112" s="3">
        <f>SUMIF(M_Opt!$C$4:$BJ$4,2,M_Opt!$C$17:$BJ$17)</f>
        <v/>
      </c>
      <c r="E112" s="3">
        <f>SUMIF(M_Opt!$C$4:$BJ$4,3,M_Opt!$C$17:$BJ$17)</f>
        <v/>
      </c>
      <c r="F112" s="3">
        <f>SUMIF(M_Opt!$C$4:$BJ$4,4,M_Opt!$C$17:$BJ$17)</f>
        <v/>
      </c>
      <c r="G112" s="3">
        <f>SUMIF(M_Opt!$C$4:$BJ$4,5,M_Opt!$C$17:$BJ$17)</f>
        <v/>
      </c>
    </row>
    <row r="113">
      <c r="A113" t="inlineStr">
        <is>
          <t>Repairs &amp; maintenance</t>
        </is>
      </c>
      <c r="C113" s="3">
        <f>SUMIF(M_Opt!$C$4:$BJ$4,1,M_Opt!$C$18:$BJ$18)</f>
        <v/>
      </c>
      <c r="D113" s="3">
        <f>SUMIF(M_Opt!$C$4:$BJ$4,2,M_Opt!$C$18:$BJ$18)</f>
        <v/>
      </c>
      <c r="E113" s="3">
        <f>SUMIF(M_Opt!$C$4:$BJ$4,3,M_Opt!$C$18:$BJ$18)</f>
        <v/>
      </c>
      <c r="F113" s="3">
        <f>SUMIF(M_Opt!$C$4:$BJ$4,4,M_Opt!$C$18:$BJ$18)</f>
        <v/>
      </c>
      <c r="G113" s="3">
        <f>SUMIF(M_Opt!$C$4:$BJ$4,5,M_Opt!$C$18:$BJ$18)</f>
        <v/>
      </c>
    </row>
    <row r="114">
      <c r="A114" t="inlineStr">
        <is>
          <t>Other variable</t>
        </is>
      </c>
      <c r="C114" s="3">
        <f>SUMIF(M_Opt!$C$4:$BJ$4,1,M_Opt!$C$19:$BJ$19)</f>
        <v/>
      </c>
      <c r="D114" s="3">
        <f>SUMIF(M_Opt!$C$4:$BJ$4,2,M_Opt!$C$19:$BJ$19)</f>
        <v/>
      </c>
      <c r="E114" s="3">
        <f>SUMIF(M_Opt!$C$4:$BJ$4,3,M_Opt!$C$19:$BJ$19)</f>
        <v/>
      </c>
      <c r="F114" s="3">
        <f>SUMIF(M_Opt!$C$4:$BJ$4,4,M_Opt!$C$19:$BJ$19)</f>
        <v/>
      </c>
      <c r="G114" s="3">
        <f>SUMIF(M_Opt!$C$4:$BJ$4,5,M_Opt!$C$19:$BJ$19)</f>
        <v/>
      </c>
    </row>
    <row r="115">
      <c r="A115" t="inlineStr">
        <is>
          <t>Other fixed + land tax</t>
        </is>
      </c>
      <c r="C115" s="3">
        <f>SUMIF(M_Opt!$C$4:$BJ$4,1,M_Opt!$C$25:$BJ$25)</f>
        <v/>
      </c>
      <c r="D115" s="3">
        <f>SUMIF(M_Opt!$C$4:$BJ$4,2,M_Opt!$C$25:$BJ$25)</f>
        <v/>
      </c>
      <c r="E115" s="3">
        <f>SUMIF(M_Opt!$C$4:$BJ$4,3,M_Opt!$C$25:$BJ$25)</f>
        <v/>
      </c>
      <c r="F115" s="3">
        <f>SUMIF(M_Opt!$C$4:$BJ$4,4,M_Opt!$C$25:$BJ$25)</f>
        <v/>
      </c>
      <c r="G115" s="3">
        <f>SUMIF(M_Opt!$C$4:$BJ$4,5,M_Opt!$C$25:$BJ$25)</f>
        <v/>
      </c>
    </row>
    <row r="116">
      <c r="A116" t="inlineStr">
        <is>
          <t>Total operating costs</t>
        </is>
      </c>
      <c r="C116" s="3">
        <f>SUMIF(M_Opt!$C$4:$BJ$4,1,M_Opt!$C$26:$BJ$26)</f>
        <v/>
      </c>
      <c r="D116" s="3">
        <f>SUMIF(M_Opt!$C$4:$BJ$4,2,M_Opt!$C$26:$BJ$26)</f>
        <v/>
      </c>
      <c r="E116" s="3">
        <f>SUMIF(M_Opt!$C$4:$BJ$4,3,M_Opt!$C$26:$BJ$26)</f>
        <v/>
      </c>
      <c r="F116" s="3">
        <f>SUMIF(M_Opt!$C$4:$BJ$4,4,M_Opt!$C$26:$BJ$26)</f>
        <v/>
      </c>
      <c r="G116" s="3">
        <f>SUMIF(M_Opt!$C$4:$BJ$4,5,M_Opt!$C$26:$BJ$26)</f>
        <v/>
      </c>
    </row>
    <row r="117">
      <c r="A117" s="18" t="inlineStr">
        <is>
          <t>EBITDA</t>
        </is>
      </c>
      <c r="C117" s="3">
        <f>SUMIF(M_Opt!$C$4:$BJ$4,1,M_Opt!$C$27:$BJ$27)</f>
        <v/>
      </c>
      <c r="D117" s="3">
        <f>SUMIF(M_Opt!$C$4:$BJ$4,2,M_Opt!$C$27:$BJ$27)</f>
        <v/>
      </c>
      <c r="E117" s="3">
        <f>SUMIF(M_Opt!$C$4:$BJ$4,3,M_Opt!$C$27:$BJ$27)</f>
        <v/>
      </c>
      <c r="F117" s="3">
        <f>SUMIF(M_Opt!$C$4:$BJ$4,4,M_Opt!$C$27:$BJ$27)</f>
        <v/>
      </c>
      <c r="G117" s="3">
        <f>SUMIF(M_Opt!$C$4:$BJ$4,5,M_Opt!$C$27:$BJ$27)</f>
        <v/>
      </c>
    </row>
    <row r="118">
      <c r="A118" t="inlineStr">
        <is>
          <t>EBITDA margin %</t>
        </is>
      </c>
      <c r="C118" s="6">
        <f>IFERROR(C117/C104,0)</f>
        <v/>
      </c>
      <c r="D118" s="6">
        <f>IFERROR(D117/D104,0)</f>
        <v/>
      </c>
      <c r="E118" s="6">
        <f>IFERROR(E117/E104,0)</f>
        <v/>
      </c>
      <c r="F118" s="6">
        <f>IFERROR(F117/F104,0)</f>
        <v/>
      </c>
      <c r="G118" s="6">
        <f>IFERROR(G117/G104,0)</f>
        <v/>
      </c>
    </row>
    <row r="119">
      <c r="A119" t="inlineStr">
        <is>
          <t>Depreciation</t>
        </is>
      </c>
      <c r="C119" s="3">
        <f>SUMIF(M_Opt!$C$4:$BJ$4,1,M_Opt!$C$28:$BJ$28)</f>
        <v/>
      </c>
      <c r="D119" s="3">
        <f>SUMIF(M_Opt!$C$4:$BJ$4,2,M_Opt!$C$28:$BJ$28)</f>
        <v/>
      </c>
      <c r="E119" s="3">
        <f>SUMIF(M_Opt!$C$4:$BJ$4,3,M_Opt!$C$28:$BJ$28)</f>
        <v/>
      </c>
      <c r="F119" s="3">
        <f>SUMIF(M_Opt!$C$4:$BJ$4,4,M_Opt!$C$28:$BJ$28)</f>
        <v/>
      </c>
      <c r="G119" s="3">
        <f>SUMIF(M_Opt!$C$4:$BJ$4,5,M_Opt!$C$28:$BJ$28)</f>
        <v/>
      </c>
    </row>
    <row r="120">
      <c r="A120" t="inlineStr">
        <is>
          <t>EBIT</t>
        </is>
      </c>
      <c r="C120" s="3">
        <f>SUMIF(M_Opt!$C$4:$BJ$4,1,M_Opt!$C$29:$BJ$29)</f>
        <v/>
      </c>
      <c r="D120" s="3">
        <f>SUMIF(M_Opt!$C$4:$BJ$4,2,M_Opt!$C$29:$BJ$29)</f>
        <v/>
      </c>
      <c r="E120" s="3">
        <f>SUMIF(M_Opt!$C$4:$BJ$4,3,M_Opt!$C$29:$BJ$29)</f>
        <v/>
      </c>
      <c r="F120" s="3">
        <f>SUMIF(M_Opt!$C$4:$BJ$4,4,M_Opt!$C$29:$BJ$29)</f>
        <v/>
      </c>
      <c r="G120" s="3">
        <f>SUMIF(M_Opt!$C$4:$BJ$4,5,M_Opt!$C$29:$BJ$29)</f>
        <v/>
      </c>
    </row>
    <row r="121">
      <c r="A121" t="inlineStr">
        <is>
          <t>Loss carried forward (opening)</t>
        </is>
      </c>
      <c r="C121" s="3">
        <f>0</f>
        <v/>
      </c>
      <c r="D121" s="3">
        <f>MAX(0,C121-C120)</f>
        <v/>
      </c>
      <c r="E121" s="3">
        <f>MAX(0,D121-D120)</f>
        <v/>
      </c>
      <c r="F121" s="3">
        <f>MAX(0,E121-E120)</f>
        <v/>
      </c>
      <c r="G121" s="3">
        <f>MAX(0,F121-F120)</f>
        <v/>
      </c>
    </row>
    <row r="122">
      <c r="A122" t="inlineStr">
        <is>
          <t>Taxable profit</t>
        </is>
      </c>
      <c r="C122" s="3">
        <f>MAX(0,C120-C121)</f>
        <v/>
      </c>
      <c r="D122" s="3">
        <f>MAX(0,D120-D121)</f>
        <v/>
      </c>
      <c r="E122" s="3">
        <f>MAX(0,E120-E121)</f>
        <v/>
      </c>
      <c r="F122" s="3">
        <f>MAX(0,F120-F121)</f>
        <v/>
      </c>
      <c r="G122" s="3">
        <f>MAX(0,G120-G121)</f>
        <v/>
      </c>
    </row>
    <row r="123">
      <c r="A123" t="inlineStr">
        <is>
          <t>Profit tax</t>
        </is>
      </c>
      <c r="C123" s="3">
        <f>C122*Inputs!$F$11</f>
        <v/>
      </c>
      <c r="D123" s="3">
        <f>D122*Inputs!$F$11</f>
        <v/>
      </c>
      <c r="E123" s="3">
        <f>E122*Inputs!$F$11</f>
        <v/>
      </c>
      <c r="F123" s="3">
        <f>F122*Inputs!$F$11</f>
        <v/>
      </c>
      <c r="G123" s="3">
        <f>G122*Inputs!$F$11</f>
        <v/>
      </c>
    </row>
    <row r="124">
      <c r="A124" s="18" t="inlineStr">
        <is>
          <t>Net income</t>
        </is>
      </c>
      <c r="C124" s="3">
        <f>C120-C123</f>
        <v/>
      </c>
      <c r="D124" s="3">
        <f>D120-D123</f>
        <v/>
      </c>
      <c r="E124" s="3">
        <f>E120-E123</f>
        <v/>
      </c>
      <c r="F124" s="3">
        <f>F120-F123</f>
        <v/>
      </c>
      <c r="G124" s="3">
        <f>G120-G123</f>
        <v/>
      </c>
    </row>
    <row r="125">
      <c r="A125" t="inlineStr">
        <is>
          <t>Net margin %</t>
        </is>
      </c>
      <c r="C125" s="6">
        <f>IFERROR(C124/C104,0)</f>
        <v/>
      </c>
      <c r="D125" s="6">
        <f>IFERROR(D124/D104,0)</f>
        <v/>
      </c>
      <c r="E125" s="6">
        <f>IFERROR(E124/E104,0)</f>
        <v/>
      </c>
      <c r="F125" s="6">
        <f>IFERROR(F124/F104,0)</f>
        <v/>
      </c>
      <c r="G125" s="6">
        <f>IFERROR(G124/G104,0)</f>
        <v/>
      </c>
    </row>
    <row r="126">
      <c r="A126" t="inlineStr">
        <is>
          <t>Maintenance capex</t>
        </is>
      </c>
      <c r="C126" s="3">
        <f>0</f>
        <v/>
      </c>
      <c r="D126" s="3">
        <f>D104*Inputs!$F$72</f>
        <v/>
      </c>
      <c r="E126" s="3">
        <f>E104*Inputs!$F$72</f>
        <v/>
      </c>
      <c r="F126" s="3">
        <f>F104*Inputs!$F$72</f>
        <v/>
      </c>
      <c r="G126" s="3">
        <f>G104*Inputs!$F$72</f>
        <v/>
      </c>
    </row>
    <row r="127">
      <c r="A127" t="inlineStr">
        <is>
          <t>Working capital (closing)</t>
        </is>
      </c>
      <c r="C127" s="3">
        <f>C105*Inputs!$F$73/365</f>
        <v/>
      </c>
      <c r="D127" s="3">
        <f>D105*Inputs!$F$73/365</f>
        <v/>
      </c>
      <c r="E127" s="3">
        <f>E105*Inputs!$F$73/365</f>
        <v/>
      </c>
      <c r="F127" s="3">
        <f>F105*Inputs!$F$73/365</f>
        <v/>
      </c>
      <c r="G127" s="3">
        <f>G105*Inputs!$F$73/365</f>
        <v/>
      </c>
    </row>
    <row r="128">
      <c r="A128" t="inlineStr">
        <is>
          <t>Δ Working capital</t>
        </is>
      </c>
      <c r="C128" s="3">
        <f>C127</f>
        <v/>
      </c>
      <c r="D128" s="3">
        <f>D127-C127</f>
        <v/>
      </c>
      <c r="E128" s="3">
        <f>E127-D127</f>
        <v/>
      </c>
      <c r="F128" s="3">
        <f>F127-E127</f>
        <v/>
      </c>
      <c r="G128" s="3">
        <f>G127-F127</f>
        <v/>
      </c>
    </row>
    <row r="129">
      <c r="A129" t="inlineStr">
        <is>
          <t>Operating cash flow</t>
        </is>
      </c>
      <c r="C129" s="3">
        <f>C117-C123-C128</f>
        <v/>
      </c>
      <c r="D129" s="3">
        <f>D117-D123-D128</f>
        <v/>
      </c>
      <c r="E129" s="3">
        <f>E117-E123-E128</f>
        <v/>
      </c>
      <c r="F129" s="3">
        <f>F117-F123-F128</f>
        <v/>
      </c>
      <c r="G129" s="3">
        <f>G117-G123-G128</f>
        <v/>
      </c>
    </row>
    <row r="130">
      <c r="A130" s="18" t="inlineStr">
        <is>
          <t>Free cash flow</t>
        </is>
      </c>
      <c r="C130" s="3">
        <f>C129-C126</f>
        <v/>
      </c>
      <c r="D130" s="3">
        <f>D129-D126</f>
        <v/>
      </c>
      <c r="E130" s="3">
        <f>E129-E126</f>
        <v/>
      </c>
      <c r="F130" s="3">
        <f>F129-F126</f>
        <v/>
      </c>
      <c r="G130" s="3">
        <f>G129-G126</f>
        <v/>
      </c>
    </row>
    <row r="131">
      <c r="A131" t="inlineStr">
        <is>
          <t>Cumulative FCF after investment</t>
        </is>
      </c>
      <c r="C131" s="3">
        <f>-INDEX(Capex!$C$15:$E$15,1,Inputs!$E$13)+C130</f>
        <v/>
      </c>
      <c r="D131" s="3">
        <f>C131+D130</f>
        <v/>
      </c>
      <c r="E131" s="3">
        <f>D131+E130</f>
        <v/>
      </c>
      <c r="F131" s="3">
        <f>E131+F130</f>
        <v/>
      </c>
      <c r="G131" s="3">
        <f>F131+G130</f>
        <v/>
      </c>
    </row>
    <row r="133">
      <c r="A133" s="18" t="inlineStr">
        <is>
          <t>Total investment (capex + pre-opening)</t>
        </is>
      </c>
      <c r="C133" s="3">
        <f>INDEX(Capex!$C$15:$E$15,1,Inputs!$E$13)</f>
        <v/>
      </c>
    </row>
    <row r="134">
      <c r="A134" s="18" t="inlineStr">
        <is>
          <t>Total investment (USD)</t>
        </is>
      </c>
      <c r="C134" s="4">
        <f>INDEX(Capex!$C$15:$E$15,1,Inputs!$E$13)/Inputs!$F$7</f>
        <v/>
      </c>
    </row>
    <row r="135">
      <c r="A135" s="18" t="inlineStr">
        <is>
          <t>Payback (months from opening)</t>
        </is>
      </c>
      <c r="C135" s="3">
        <f>IF(MIN(M_Opt!$C$32:$BJ$32)&gt;60,"&gt; 60",MIN(M_Opt!$C$32:$BJ$32))</f>
        <v/>
      </c>
    </row>
    <row r="136">
      <c r="A136" s="18" t="inlineStr">
        <is>
          <t>Residual value end-Y5 (book value of fixed assets)</t>
        </is>
      </c>
      <c r="C136" s="3">
        <f>INDEX(Capex!$C$19:$E$19,1,Inputs!$E$13)*MAX(0,1-5/MAX(Inputs!$E$84,0.0001))*(Inputs!$E$84&gt;0)+INDEX(Capex!$C$20:$E$20,1,Inputs!$E$13)*MAX(0,1-5/MAX(Inputs!$E$85,0.0001))*(Inputs!$E$85&gt;0)+INDEX(Capex!$C$21:$E$21,1,Inputs!$E$13)*MAX(0,1-5/MAX(Inputs!$E$86,0.0001))*(Inputs!$E$86&gt;0)+INDEX(Capex!$C$22:$E$22,1,Inputs!$E$13)*MAX(0,1-5/MAX(Inputs!$E$87,0.0001))*(Inputs!$E$87&gt;0)+INDEX(Capex!$C$23:$E$23,1,Inputs!$E$13)*MAX(0,1-5/MAX(Inputs!$E$88,0.0001))*(Inputs!$E$88&gt;0)+INDEX(Capex!$C$24:$E$24,1,Inputs!$E$13)*MAX(0,1-5/MAX(Inputs!$E$89,0.0001))*(Inputs!$E$89&gt;0)+INDEX(Capex!$C$25:$E$25,1,Inputs!$E$13)*MAX(0,1-5/MAX(Inputs!$E$90,0.0001))*(Inputs!$E$90&gt;0)</f>
        <v/>
      </c>
    </row>
    <row r="137">
      <c r="A137" s="18" t="inlineStr">
        <is>
          <t>NPV @ discount rate (5 yrs + residual)</t>
        </is>
      </c>
      <c r="C137" s="3">
        <f>C143+NPV(Inputs!$F$12,D143:H143)</f>
        <v/>
      </c>
    </row>
    <row r="138">
      <c r="A138" s="18" t="inlineStr">
        <is>
          <t>IRR (5 yrs + residual)</t>
        </is>
      </c>
      <c r="C138" s="6">
        <f>IFERROR(IRR(C143:H143),"n/a")</f>
        <v/>
      </c>
    </row>
    <row r="139">
      <c r="A139" s="18" t="inlineStr">
        <is>
          <t>IRR (5 yrs, no residual)</t>
        </is>
      </c>
      <c r="C139" s="6">
        <f>IFERROR(IRR(C144:H144),"n/a")</f>
        <v/>
      </c>
    </row>
    <row r="140">
      <c r="A140" s="18" t="inlineStr">
        <is>
          <t>ROIC Year 3 (NOPAT / investment)</t>
        </is>
      </c>
      <c r="C140" s="6">
        <f>G120*0+E120*(1-Inputs!$F$11)/INDEX(Capex!$C$15:$E$15,1,Inputs!$E$13)</f>
        <v/>
      </c>
    </row>
    <row r="141">
      <c r="A141" s="18" t="inlineStr">
        <is>
          <t>Year-3 EBITDA (USD)</t>
        </is>
      </c>
      <c r="C141" s="4">
        <f>E117/Inputs!$F$7</f>
        <v/>
      </c>
    </row>
    <row r="143">
      <c r="A143" t="inlineStr">
        <is>
          <t>Cash flows for IRR: Y0 … Y5 (+ residual in Y5)</t>
        </is>
      </c>
      <c r="C143" s="3">
        <f>-INDEX(Capex!$C$15:$E$15,1,Inputs!$E$13)</f>
        <v/>
      </c>
      <c r="D143" s="3">
        <f>C130</f>
        <v/>
      </c>
      <c r="E143" s="3">
        <f>D130</f>
        <v/>
      </c>
      <c r="F143" s="3">
        <f>E130</f>
        <v/>
      </c>
      <c r="G143" s="3">
        <f>F130</f>
        <v/>
      </c>
      <c r="H143" s="3">
        <f>G130+C136</f>
        <v/>
      </c>
    </row>
    <row r="144">
      <c r="A144" t="inlineStr">
        <is>
          <t>Cash flows (no residual)</t>
        </is>
      </c>
      <c r="C144" s="3">
        <f>-INDEX(Capex!$C$15:$E$15,1,Inputs!$E$13)</f>
        <v/>
      </c>
      <c r="D144" s="3">
        <f>C130</f>
        <v/>
      </c>
      <c r="E144" s="3">
        <f>D130</f>
        <v/>
      </c>
      <c r="F144" s="3">
        <f>E130</f>
        <v/>
      </c>
      <c r="G144" s="3">
        <f>F130</f>
        <v/>
      </c>
      <c r="H144" s="3">
        <f>G130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Drive-thru — break-even and required traffic (Year-2 cost base)</t>
        </is>
      </c>
    </row>
    <row r="3">
      <c r="A3" s="2" t="inlineStr">
        <is>
          <t>Metric</t>
        </is>
      </c>
      <c r="B3" s="2" t="inlineStr"/>
      <c r="C3" s="2" t="inlineStr">
        <is>
          <t>Conservative</t>
        </is>
      </c>
      <c r="D3" s="2" t="inlineStr">
        <is>
          <t>Base</t>
        </is>
      </c>
      <c r="E3" s="2" t="inlineStr">
        <is>
          <t>Optimistic</t>
        </is>
      </c>
    </row>
    <row r="4">
      <c r="A4" t="inlineStr">
        <is>
          <t>Year-2 net sales</t>
        </is>
      </c>
      <c r="C4" s="3">
        <f>Annual!D8</f>
        <v/>
      </c>
      <c r="D4" s="3">
        <f>Annual!D56</f>
        <v/>
      </c>
      <c r="E4" s="3">
        <f>Annual!D104</f>
        <v/>
      </c>
    </row>
    <row r="5">
      <c r="A5" t="inlineStr">
        <is>
          <t>Variable costs as % of net sales</t>
        </is>
      </c>
      <c r="C5" s="6">
        <f>(Annual!D9+Annual!D15+Annual!D17+Annual!D18+Annual!D16)/Annual!D8+Inputs!$D$63</f>
        <v/>
      </c>
      <c r="D5" s="6">
        <f>(Annual!D57+Annual!D63+Annual!D65+Annual!D66+Annual!D64)/Annual!D56+Inputs!$E$63</f>
        <v/>
      </c>
      <c r="E5" s="6">
        <f>(Annual!D105+Annual!D111+Annual!D113+Annual!D114+Annual!D112)/Annual!D104+Inputs!$F$63</f>
        <v/>
      </c>
    </row>
    <row r="6">
      <c r="A6" t="inlineStr">
        <is>
          <t>Fixed costs per year (labour, rent, fixed, utilities fixed)</t>
        </is>
      </c>
      <c r="C6" s="3">
        <f>Annual!D12+Annual!D13+Annual!D19+Annual!D14-Annual!D8*Inputs!$D$63</f>
        <v/>
      </c>
      <c r="D6" s="3">
        <f>Annual!D60+Annual!D61+Annual!D67+Annual!D62-Annual!D56*Inputs!$E$63</f>
        <v/>
      </c>
      <c r="E6" s="3">
        <f>Annual!D108+Annual!D109+Annual!D115+Annual!D110-Annual!D104*Inputs!$F$63</f>
        <v/>
      </c>
    </row>
    <row r="7">
      <c r="A7" t="inlineStr">
        <is>
          <t>Net ticket (excl. VAT)</t>
        </is>
      </c>
      <c r="C7" s="3">
        <f>Annual!D6/(1+Inputs!$D$10)</f>
        <v/>
      </c>
      <c r="D7" s="3">
        <f>Annual!D54/(1+Inputs!$E$10)</f>
        <v/>
      </c>
      <c r="E7" s="3">
        <f>Annual!D102/(1+Inputs!$F$10)</f>
        <v/>
      </c>
    </row>
    <row r="8">
      <c r="A8" t="inlineStr">
        <is>
          <t>Contribution per transaction</t>
        </is>
      </c>
      <c r="C8" s="3">
        <f>C7*(1-C5)</f>
        <v/>
      </c>
      <c r="D8" s="3">
        <f>D7*(1-D5)</f>
        <v/>
      </c>
      <c r="E8" s="3">
        <f>E7*(1-E5)</f>
        <v/>
      </c>
    </row>
    <row r="9">
      <c r="A9" t="inlineStr">
        <is>
          <t>Break-even transactions/day (EBITDA = 0)</t>
        </is>
      </c>
      <c r="C9" s="5">
        <f>C6/C8/Inputs!$D$9</f>
        <v/>
      </c>
      <c r="D9" s="5">
        <f>D6/D8/Inputs!$E$9</f>
        <v/>
      </c>
      <c r="E9" s="5">
        <f>E6/E8/Inputs!$F$9</f>
        <v/>
      </c>
    </row>
    <row r="10">
      <c r="A10" t="inlineStr">
        <is>
          <t>Break-even transactions/day (EBIT = 0)</t>
        </is>
      </c>
      <c r="C10" s="5">
        <f>(C6+Annual!D23)/C8/Inputs!$D$9</f>
        <v/>
      </c>
      <c r="D10" s="5">
        <f>(D6+Annual!D71)/D8/Inputs!$E$9</f>
        <v/>
      </c>
      <c r="E10" s="5">
        <f>(E6+Annual!D119)/E8/Inputs!$F$9</f>
        <v/>
      </c>
    </row>
    <row r="11">
      <c r="A11" t="inlineStr">
        <is>
          <t>Capture used (Y2)</t>
        </is>
      </c>
      <c r="C11" s="6">
        <f>Inputs!$D$20*(1+Inputs!$D$21)</f>
        <v/>
      </c>
      <c r="D11" s="6">
        <f>Inputs!$E$20*(1+Inputs!$E$21)</f>
        <v/>
      </c>
      <c r="E11" s="6">
        <f>Inputs!$F$20*(1+Inputs!$F$21)</f>
        <v/>
      </c>
    </row>
    <row r="12">
      <c r="A12" t="inlineStr">
        <is>
          <t>Accessible share used</t>
        </is>
      </c>
      <c r="C12" s="6">
        <f>Inputs!$D$19</f>
        <v/>
      </c>
      <c r="D12" s="6">
        <f>Inputs!$E$19</f>
        <v/>
      </c>
      <c r="E12" s="6">
        <f>Inputs!$F$19</f>
        <v/>
      </c>
    </row>
    <row r="13">
      <c r="A13" t="inlineStr">
        <is>
          <t>Non-highway transactions/day</t>
        </is>
      </c>
      <c r="C13" s="5">
        <f>Inputs!$D$23</f>
        <v/>
      </c>
      <c r="D13" s="5">
        <f>Inputs!$E$23</f>
        <v/>
      </c>
      <c r="E13" s="5">
        <f>Inputs!$F$23</f>
        <v/>
      </c>
    </row>
    <row r="14">
      <c r="A14" t="inlineStr">
        <is>
          <t>Break-even passing vehicles/day (two-way)</t>
        </is>
      </c>
      <c r="C14" s="5">
        <f>MAX(0,C9-C13)/(C12*C11)</f>
        <v/>
      </c>
      <c r="D14" s="5">
        <f>MAX(0,D9-D13)/(D12*D11)</f>
        <v/>
      </c>
      <c r="E14" s="5">
        <f>MAX(0,E9-E13)/(E12*E11)</f>
        <v/>
      </c>
    </row>
    <row r="15">
      <c r="A15" t="inlineStr">
        <is>
          <t>Transactions/day for 4-year cash payback</t>
        </is>
      </c>
      <c r="C15" s="5">
        <f>(C6+INDEX(Capex!$C$15:$E$15,1,Inputs!$E$13)/4/(1-0.18*0.6))/C8/Inputs!$D$9</f>
        <v/>
      </c>
      <c r="D15" s="5">
        <f>(D6+INDEX(Capex!$C$15:$E$15,1,Inputs!$E$13)/4/(1-0.18*0.6))/D8/Inputs!$E$9</f>
        <v/>
      </c>
      <c r="E15" s="5">
        <f>(E6+INDEX(Capex!$C$15:$E$15,1,Inputs!$E$13)/4/(1-0.18*0.6))/E8/Inputs!$F$9</f>
        <v/>
      </c>
    </row>
    <row r="16">
      <c r="A16" t="inlineStr">
        <is>
          <t>Passing vehicles/day for 4-year payback</t>
        </is>
      </c>
      <c r="C16" s="5">
        <f>MAX(0,C15-C13)/(C12*C11)</f>
        <v/>
      </c>
      <c r="D16" s="5">
        <f>MAX(0,D15-D13)/(D12*D11)</f>
        <v/>
      </c>
      <c r="E16" s="5">
        <f>MAX(0,E15-E13)/(E12*E11)</f>
        <v/>
      </c>
    </row>
    <row r="17">
      <c r="A17" t="inlineStr">
        <is>
          <t>Modelled Year-2 transactions/day</t>
        </is>
      </c>
      <c r="C17" s="5">
        <f>Annual!D5</f>
        <v/>
      </c>
      <c r="D17" s="5">
        <f>Annual!D53</f>
        <v/>
      </c>
      <c r="E17" s="5">
        <f>Annual!D101</f>
        <v/>
      </c>
    </row>
    <row r="18">
      <c r="A18" t="inlineStr">
        <is>
          <t>Safety margin vs EBITDA break-even</t>
        </is>
      </c>
      <c r="C18" s="6">
        <f>C17/C9-1</f>
        <v/>
      </c>
      <c r="D18" s="6">
        <f>D17/D9-1</f>
        <v/>
      </c>
      <c r="E18" s="6">
        <f>E17/E9-1</f>
        <v/>
      </c>
    </row>
    <row r="21">
      <c r="A21" s="18" t="inlineStr">
        <is>
          <t>Passing vehicles/day (two-way) needed for EBITDA break-even — BASE cost structure</t>
        </is>
      </c>
    </row>
    <row r="22">
      <c r="A22" t="inlineStr">
        <is>
          <t>Rows: capture rate of accessible traffic · Columns: average ticket (AMD incl. VAT, Year-1 prices)</t>
        </is>
      </c>
    </row>
    <row r="23">
      <c r="B23" s="18" t="inlineStr">
        <is>
          <t>capture \ ticket</t>
        </is>
      </c>
      <c r="C23" s="19" t="n">
        <v>1500</v>
      </c>
      <c r="D23" s="19" t="n">
        <v>1800</v>
      </c>
      <c r="E23" s="19" t="n">
        <v>2100</v>
      </c>
      <c r="F23" s="19" t="n">
        <v>2400</v>
      </c>
      <c r="G23" s="19" t="n">
        <v>2700</v>
      </c>
      <c r="H23" s="19" t="n">
        <v>3000</v>
      </c>
      <c r="I23" s="19" t="n">
        <v>3300</v>
      </c>
      <c r="J23" s="19" t="n">
        <v>3600</v>
      </c>
      <c r="K23" s="19" t="n">
        <v>4000</v>
      </c>
    </row>
    <row r="24">
      <c r="B24" s="20" t="n">
        <v>0.008</v>
      </c>
      <c r="C24" s="5">
        <f>MAX(0,($D$6/(C$23*(1+Inputs!$E$24)/(1+Inputs!$E$10)*(1-$D$5))/Inputs!$E$9)-Inputs!$E$23)/(Inputs!$E$19*$B24)</f>
        <v/>
      </c>
      <c r="D24" s="5">
        <f>MAX(0,($D$6/(D$23*(1+Inputs!$E$24)/(1+Inputs!$E$10)*(1-$D$5))/Inputs!$E$9)-Inputs!$E$23)/(Inputs!$E$19*$B24)</f>
        <v/>
      </c>
      <c r="E24" s="5">
        <f>MAX(0,($D$6/(E$23*(1+Inputs!$E$24)/(1+Inputs!$E$10)*(1-$D$5))/Inputs!$E$9)-Inputs!$E$23)/(Inputs!$E$19*$B24)</f>
        <v/>
      </c>
      <c r="F24" s="5">
        <f>MAX(0,($D$6/(F$23*(1+Inputs!$E$24)/(1+Inputs!$E$10)*(1-$D$5))/Inputs!$E$9)-Inputs!$E$23)/(Inputs!$E$19*$B24)</f>
        <v/>
      </c>
      <c r="G24" s="5">
        <f>MAX(0,($D$6/(G$23*(1+Inputs!$E$24)/(1+Inputs!$E$10)*(1-$D$5))/Inputs!$E$9)-Inputs!$E$23)/(Inputs!$E$19*$B24)</f>
        <v/>
      </c>
      <c r="H24" s="5">
        <f>MAX(0,($D$6/(H$23*(1+Inputs!$E$24)/(1+Inputs!$E$10)*(1-$D$5))/Inputs!$E$9)-Inputs!$E$23)/(Inputs!$E$19*$B24)</f>
        <v/>
      </c>
      <c r="I24" s="5">
        <f>MAX(0,($D$6/(I$23*(1+Inputs!$E$24)/(1+Inputs!$E$10)*(1-$D$5))/Inputs!$E$9)-Inputs!$E$23)/(Inputs!$E$19*$B24)</f>
        <v/>
      </c>
      <c r="J24" s="5">
        <f>MAX(0,($D$6/(J$23*(1+Inputs!$E$24)/(1+Inputs!$E$10)*(1-$D$5))/Inputs!$E$9)-Inputs!$E$23)/(Inputs!$E$19*$B24)</f>
        <v/>
      </c>
      <c r="K24" s="5">
        <f>MAX(0,($D$6/(K$23*(1+Inputs!$E$24)/(1+Inputs!$E$10)*(1-$D$5))/Inputs!$E$9)-Inputs!$E$23)/(Inputs!$E$19*$B24)</f>
        <v/>
      </c>
    </row>
    <row r="25">
      <c r="B25" s="20" t="n">
        <v>0.01</v>
      </c>
      <c r="C25" s="5">
        <f>MAX(0,($D$6/(C$23*(1+Inputs!$E$24)/(1+Inputs!$E$10)*(1-$D$5))/Inputs!$E$9)-Inputs!$E$23)/(Inputs!$E$19*$B25)</f>
        <v/>
      </c>
      <c r="D25" s="5">
        <f>MAX(0,($D$6/(D$23*(1+Inputs!$E$24)/(1+Inputs!$E$10)*(1-$D$5))/Inputs!$E$9)-Inputs!$E$23)/(Inputs!$E$19*$B25)</f>
        <v/>
      </c>
      <c r="E25" s="5">
        <f>MAX(0,($D$6/(E$23*(1+Inputs!$E$24)/(1+Inputs!$E$10)*(1-$D$5))/Inputs!$E$9)-Inputs!$E$23)/(Inputs!$E$19*$B25)</f>
        <v/>
      </c>
      <c r="F25" s="5">
        <f>MAX(0,($D$6/(F$23*(1+Inputs!$E$24)/(1+Inputs!$E$10)*(1-$D$5))/Inputs!$E$9)-Inputs!$E$23)/(Inputs!$E$19*$B25)</f>
        <v/>
      </c>
      <c r="G25" s="5">
        <f>MAX(0,($D$6/(G$23*(1+Inputs!$E$24)/(1+Inputs!$E$10)*(1-$D$5))/Inputs!$E$9)-Inputs!$E$23)/(Inputs!$E$19*$B25)</f>
        <v/>
      </c>
      <c r="H25" s="5">
        <f>MAX(0,($D$6/(H$23*(1+Inputs!$E$24)/(1+Inputs!$E$10)*(1-$D$5))/Inputs!$E$9)-Inputs!$E$23)/(Inputs!$E$19*$B25)</f>
        <v/>
      </c>
      <c r="I25" s="5">
        <f>MAX(0,($D$6/(I$23*(1+Inputs!$E$24)/(1+Inputs!$E$10)*(1-$D$5))/Inputs!$E$9)-Inputs!$E$23)/(Inputs!$E$19*$B25)</f>
        <v/>
      </c>
      <c r="J25" s="5">
        <f>MAX(0,($D$6/(J$23*(1+Inputs!$E$24)/(1+Inputs!$E$10)*(1-$D$5))/Inputs!$E$9)-Inputs!$E$23)/(Inputs!$E$19*$B25)</f>
        <v/>
      </c>
      <c r="K25" s="5">
        <f>MAX(0,($D$6/(K$23*(1+Inputs!$E$24)/(1+Inputs!$E$10)*(1-$D$5))/Inputs!$E$9)-Inputs!$E$23)/(Inputs!$E$19*$B25)</f>
        <v/>
      </c>
    </row>
    <row r="26">
      <c r="B26" s="20" t="n">
        <v>0.012</v>
      </c>
      <c r="C26" s="5">
        <f>MAX(0,($D$6/(C$23*(1+Inputs!$E$24)/(1+Inputs!$E$10)*(1-$D$5))/Inputs!$E$9)-Inputs!$E$23)/(Inputs!$E$19*$B26)</f>
        <v/>
      </c>
      <c r="D26" s="5">
        <f>MAX(0,($D$6/(D$23*(1+Inputs!$E$24)/(1+Inputs!$E$10)*(1-$D$5))/Inputs!$E$9)-Inputs!$E$23)/(Inputs!$E$19*$B26)</f>
        <v/>
      </c>
      <c r="E26" s="5">
        <f>MAX(0,($D$6/(E$23*(1+Inputs!$E$24)/(1+Inputs!$E$10)*(1-$D$5))/Inputs!$E$9)-Inputs!$E$23)/(Inputs!$E$19*$B26)</f>
        <v/>
      </c>
      <c r="F26" s="5">
        <f>MAX(0,($D$6/(F$23*(1+Inputs!$E$24)/(1+Inputs!$E$10)*(1-$D$5))/Inputs!$E$9)-Inputs!$E$23)/(Inputs!$E$19*$B26)</f>
        <v/>
      </c>
      <c r="G26" s="5">
        <f>MAX(0,($D$6/(G$23*(1+Inputs!$E$24)/(1+Inputs!$E$10)*(1-$D$5))/Inputs!$E$9)-Inputs!$E$23)/(Inputs!$E$19*$B26)</f>
        <v/>
      </c>
      <c r="H26" s="5">
        <f>MAX(0,($D$6/(H$23*(1+Inputs!$E$24)/(1+Inputs!$E$10)*(1-$D$5))/Inputs!$E$9)-Inputs!$E$23)/(Inputs!$E$19*$B26)</f>
        <v/>
      </c>
      <c r="I26" s="5">
        <f>MAX(0,($D$6/(I$23*(1+Inputs!$E$24)/(1+Inputs!$E$10)*(1-$D$5))/Inputs!$E$9)-Inputs!$E$23)/(Inputs!$E$19*$B26)</f>
        <v/>
      </c>
      <c r="J26" s="5">
        <f>MAX(0,($D$6/(J$23*(1+Inputs!$E$24)/(1+Inputs!$E$10)*(1-$D$5))/Inputs!$E$9)-Inputs!$E$23)/(Inputs!$E$19*$B26)</f>
        <v/>
      </c>
      <c r="K26" s="5">
        <f>MAX(0,($D$6/(K$23*(1+Inputs!$E$24)/(1+Inputs!$E$10)*(1-$D$5))/Inputs!$E$9)-Inputs!$E$23)/(Inputs!$E$19*$B26)</f>
        <v/>
      </c>
    </row>
    <row r="27">
      <c r="B27" s="20" t="n">
        <v>0.015</v>
      </c>
      <c r="C27" s="5">
        <f>MAX(0,($D$6/(C$23*(1+Inputs!$E$24)/(1+Inputs!$E$10)*(1-$D$5))/Inputs!$E$9)-Inputs!$E$23)/(Inputs!$E$19*$B27)</f>
        <v/>
      </c>
      <c r="D27" s="5">
        <f>MAX(0,($D$6/(D$23*(1+Inputs!$E$24)/(1+Inputs!$E$10)*(1-$D$5))/Inputs!$E$9)-Inputs!$E$23)/(Inputs!$E$19*$B27)</f>
        <v/>
      </c>
      <c r="E27" s="5">
        <f>MAX(0,($D$6/(E$23*(1+Inputs!$E$24)/(1+Inputs!$E$10)*(1-$D$5))/Inputs!$E$9)-Inputs!$E$23)/(Inputs!$E$19*$B27)</f>
        <v/>
      </c>
      <c r="F27" s="5">
        <f>MAX(0,($D$6/(F$23*(1+Inputs!$E$24)/(1+Inputs!$E$10)*(1-$D$5))/Inputs!$E$9)-Inputs!$E$23)/(Inputs!$E$19*$B27)</f>
        <v/>
      </c>
      <c r="G27" s="5">
        <f>MAX(0,($D$6/(G$23*(1+Inputs!$E$24)/(1+Inputs!$E$10)*(1-$D$5))/Inputs!$E$9)-Inputs!$E$23)/(Inputs!$E$19*$B27)</f>
        <v/>
      </c>
      <c r="H27" s="5">
        <f>MAX(0,($D$6/(H$23*(1+Inputs!$E$24)/(1+Inputs!$E$10)*(1-$D$5))/Inputs!$E$9)-Inputs!$E$23)/(Inputs!$E$19*$B27)</f>
        <v/>
      </c>
      <c r="I27" s="5">
        <f>MAX(0,($D$6/(I$23*(1+Inputs!$E$24)/(1+Inputs!$E$10)*(1-$D$5))/Inputs!$E$9)-Inputs!$E$23)/(Inputs!$E$19*$B27)</f>
        <v/>
      </c>
      <c r="J27" s="5">
        <f>MAX(0,($D$6/(J$23*(1+Inputs!$E$24)/(1+Inputs!$E$10)*(1-$D$5))/Inputs!$E$9)-Inputs!$E$23)/(Inputs!$E$19*$B27)</f>
        <v/>
      </c>
      <c r="K27" s="5">
        <f>MAX(0,($D$6/(K$23*(1+Inputs!$E$24)/(1+Inputs!$E$10)*(1-$D$5))/Inputs!$E$9)-Inputs!$E$23)/(Inputs!$E$19*$B27)</f>
        <v/>
      </c>
    </row>
    <row r="28">
      <c r="B28" s="20" t="n">
        <v>0.018</v>
      </c>
      <c r="C28" s="5">
        <f>MAX(0,($D$6/(C$23*(1+Inputs!$E$24)/(1+Inputs!$E$10)*(1-$D$5))/Inputs!$E$9)-Inputs!$E$23)/(Inputs!$E$19*$B28)</f>
        <v/>
      </c>
      <c r="D28" s="5">
        <f>MAX(0,($D$6/(D$23*(1+Inputs!$E$24)/(1+Inputs!$E$10)*(1-$D$5))/Inputs!$E$9)-Inputs!$E$23)/(Inputs!$E$19*$B28)</f>
        <v/>
      </c>
      <c r="E28" s="5">
        <f>MAX(0,($D$6/(E$23*(1+Inputs!$E$24)/(1+Inputs!$E$10)*(1-$D$5))/Inputs!$E$9)-Inputs!$E$23)/(Inputs!$E$19*$B28)</f>
        <v/>
      </c>
      <c r="F28" s="5">
        <f>MAX(0,($D$6/(F$23*(1+Inputs!$E$24)/(1+Inputs!$E$10)*(1-$D$5))/Inputs!$E$9)-Inputs!$E$23)/(Inputs!$E$19*$B28)</f>
        <v/>
      </c>
      <c r="G28" s="5">
        <f>MAX(0,($D$6/(G$23*(1+Inputs!$E$24)/(1+Inputs!$E$10)*(1-$D$5))/Inputs!$E$9)-Inputs!$E$23)/(Inputs!$E$19*$B28)</f>
        <v/>
      </c>
      <c r="H28" s="5">
        <f>MAX(0,($D$6/(H$23*(1+Inputs!$E$24)/(1+Inputs!$E$10)*(1-$D$5))/Inputs!$E$9)-Inputs!$E$23)/(Inputs!$E$19*$B28)</f>
        <v/>
      </c>
      <c r="I28" s="5">
        <f>MAX(0,($D$6/(I$23*(1+Inputs!$E$24)/(1+Inputs!$E$10)*(1-$D$5))/Inputs!$E$9)-Inputs!$E$23)/(Inputs!$E$19*$B28)</f>
        <v/>
      </c>
      <c r="J28" s="5">
        <f>MAX(0,($D$6/(J$23*(1+Inputs!$E$24)/(1+Inputs!$E$10)*(1-$D$5))/Inputs!$E$9)-Inputs!$E$23)/(Inputs!$E$19*$B28)</f>
        <v/>
      </c>
      <c r="K28" s="5">
        <f>MAX(0,($D$6/(K$23*(1+Inputs!$E$24)/(1+Inputs!$E$10)*(1-$D$5))/Inputs!$E$9)-Inputs!$E$23)/(Inputs!$E$19*$B28)</f>
        <v/>
      </c>
    </row>
    <row r="29">
      <c r="B29" s="20" t="n">
        <v>0.022</v>
      </c>
      <c r="C29" s="5">
        <f>MAX(0,($D$6/(C$23*(1+Inputs!$E$24)/(1+Inputs!$E$10)*(1-$D$5))/Inputs!$E$9)-Inputs!$E$23)/(Inputs!$E$19*$B29)</f>
        <v/>
      </c>
      <c r="D29" s="5">
        <f>MAX(0,($D$6/(D$23*(1+Inputs!$E$24)/(1+Inputs!$E$10)*(1-$D$5))/Inputs!$E$9)-Inputs!$E$23)/(Inputs!$E$19*$B29)</f>
        <v/>
      </c>
      <c r="E29" s="5">
        <f>MAX(0,($D$6/(E$23*(1+Inputs!$E$24)/(1+Inputs!$E$10)*(1-$D$5))/Inputs!$E$9)-Inputs!$E$23)/(Inputs!$E$19*$B29)</f>
        <v/>
      </c>
      <c r="F29" s="5">
        <f>MAX(0,($D$6/(F$23*(1+Inputs!$E$24)/(1+Inputs!$E$10)*(1-$D$5))/Inputs!$E$9)-Inputs!$E$23)/(Inputs!$E$19*$B29)</f>
        <v/>
      </c>
      <c r="G29" s="5">
        <f>MAX(0,($D$6/(G$23*(1+Inputs!$E$24)/(1+Inputs!$E$10)*(1-$D$5))/Inputs!$E$9)-Inputs!$E$23)/(Inputs!$E$19*$B29)</f>
        <v/>
      </c>
      <c r="H29" s="5">
        <f>MAX(0,($D$6/(H$23*(1+Inputs!$E$24)/(1+Inputs!$E$10)*(1-$D$5))/Inputs!$E$9)-Inputs!$E$23)/(Inputs!$E$19*$B29)</f>
        <v/>
      </c>
      <c r="I29" s="5">
        <f>MAX(0,($D$6/(I$23*(1+Inputs!$E$24)/(1+Inputs!$E$10)*(1-$D$5))/Inputs!$E$9)-Inputs!$E$23)/(Inputs!$E$19*$B29)</f>
        <v/>
      </c>
      <c r="J29" s="5">
        <f>MAX(0,($D$6/(J$23*(1+Inputs!$E$24)/(1+Inputs!$E$10)*(1-$D$5))/Inputs!$E$9)-Inputs!$E$23)/(Inputs!$E$19*$B29)</f>
        <v/>
      </c>
      <c r="K29" s="5">
        <f>MAX(0,($D$6/(K$23*(1+Inputs!$E$24)/(1+Inputs!$E$10)*(1-$D$5))/Inputs!$E$9)-Inputs!$E$23)/(Inputs!$E$19*$B29)</f>
        <v/>
      </c>
    </row>
    <row r="30">
      <c r="B30" s="20" t="n">
        <v>0.026</v>
      </c>
      <c r="C30" s="5">
        <f>MAX(0,($D$6/(C$23*(1+Inputs!$E$24)/(1+Inputs!$E$10)*(1-$D$5))/Inputs!$E$9)-Inputs!$E$23)/(Inputs!$E$19*$B30)</f>
        <v/>
      </c>
      <c r="D30" s="5">
        <f>MAX(0,($D$6/(D$23*(1+Inputs!$E$24)/(1+Inputs!$E$10)*(1-$D$5))/Inputs!$E$9)-Inputs!$E$23)/(Inputs!$E$19*$B30)</f>
        <v/>
      </c>
      <c r="E30" s="5">
        <f>MAX(0,($D$6/(E$23*(1+Inputs!$E$24)/(1+Inputs!$E$10)*(1-$D$5))/Inputs!$E$9)-Inputs!$E$23)/(Inputs!$E$19*$B30)</f>
        <v/>
      </c>
      <c r="F30" s="5">
        <f>MAX(0,($D$6/(F$23*(1+Inputs!$E$24)/(1+Inputs!$E$10)*(1-$D$5))/Inputs!$E$9)-Inputs!$E$23)/(Inputs!$E$19*$B30)</f>
        <v/>
      </c>
      <c r="G30" s="5">
        <f>MAX(0,($D$6/(G$23*(1+Inputs!$E$24)/(1+Inputs!$E$10)*(1-$D$5))/Inputs!$E$9)-Inputs!$E$23)/(Inputs!$E$19*$B30)</f>
        <v/>
      </c>
      <c r="H30" s="5">
        <f>MAX(0,($D$6/(H$23*(1+Inputs!$E$24)/(1+Inputs!$E$10)*(1-$D$5))/Inputs!$E$9)-Inputs!$E$23)/(Inputs!$E$19*$B30)</f>
        <v/>
      </c>
      <c r="I30" s="5">
        <f>MAX(0,($D$6/(I$23*(1+Inputs!$E$24)/(1+Inputs!$E$10)*(1-$D$5))/Inputs!$E$9)-Inputs!$E$23)/(Inputs!$E$19*$B30)</f>
        <v/>
      </c>
      <c r="J30" s="5">
        <f>MAX(0,($D$6/(J$23*(1+Inputs!$E$24)/(1+Inputs!$E$10)*(1-$D$5))/Inputs!$E$9)-Inputs!$E$23)/(Inputs!$E$19*$B30)</f>
        <v/>
      </c>
      <c r="K30" s="5">
        <f>MAX(0,($D$6/(K$23*(1+Inputs!$E$24)/(1+Inputs!$E$10)*(1-$D$5))/Inputs!$E$9)-Inputs!$E$23)/(Inputs!$E$19*$B30)</f>
        <v/>
      </c>
    </row>
    <row r="31">
      <c r="B31" s="20" t="n">
        <v>0.03</v>
      </c>
      <c r="C31" s="5">
        <f>MAX(0,($D$6/(C$23*(1+Inputs!$E$24)/(1+Inputs!$E$10)*(1-$D$5))/Inputs!$E$9)-Inputs!$E$23)/(Inputs!$E$19*$B31)</f>
        <v/>
      </c>
      <c r="D31" s="5">
        <f>MAX(0,($D$6/(D$23*(1+Inputs!$E$24)/(1+Inputs!$E$10)*(1-$D$5))/Inputs!$E$9)-Inputs!$E$23)/(Inputs!$E$19*$B31)</f>
        <v/>
      </c>
      <c r="E31" s="5">
        <f>MAX(0,($D$6/(E$23*(1+Inputs!$E$24)/(1+Inputs!$E$10)*(1-$D$5))/Inputs!$E$9)-Inputs!$E$23)/(Inputs!$E$19*$B31)</f>
        <v/>
      </c>
      <c r="F31" s="5">
        <f>MAX(0,($D$6/(F$23*(1+Inputs!$E$24)/(1+Inputs!$E$10)*(1-$D$5))/Inputs!$E$9)-Inputs!$E$23)/(Inputs!$E$19*$B31)</f>
        <v/>
      </c>
      <c r="G31" s="5">
        <f>MAX(0,($D$6/(G$23*(1+Inputs!$E$24)/(1+Inputs!$E$10)*(1-$D$5))/Inputs!$E$9)-Inputs!$E$23)/(Inputs!$E$19*$B31)</f>
        <v/>
      </c>
      <c r="H31" s="5">
        <f>MAX(0,($D$6/(H$23*(1+Inputs!$E$24)/(1+Inputs!$E$10)*(1-$D$5))/Inputs!$E$9)-Inputs!$E$23)/(Inputs!$E$19*$B31)</f>
        <v/>
      </c>
      <c r="I31" s="5">
        <f>MAX(0,($D$6/(I$23*(1+Inputs!$E$24)/(1+Inputs!$E$10)*(1-$D$5))/Inputs!$E$9)-Inputs!$E$23)/(Inputs!$E$19*$B31)</f>
        <v/>
      </c>
      <c r="J31" s="5">
        <f>MAX(0,($D$6/(J$23*(1+Inputs!$E$24)/(1+Inputs!$E$10)*(1-$D$5))/Inputs!$E$9)-Inputs!$E$23)/(Inputs!$E$19*$B31)</f>
        <v/>
      </c>
      <c r="K31" s="5">
        <f>MAX(0,($D$6/(K$23*(1+Inputs!$E$24)/(1+Inputs!$E$10)*(1-$D$5))/Inputs!$E$9)-Inputs!$E$23)/(Inputs!$E$19*$B31)</f>
        <v/>
      </c>
    </row>
    <row r="32">
      <c r="B32" s="20" t="n">
        <v>0.035</v>
      </c>
      <c r="C32" s="5">
        <f>MAX(0,($D$6/(C$23*(1+Inputs!$E$24)/(1+Inputs!$E$10)*(1-$D$5))/Inputs!$E$9)-Inputs!$E$23)/(Inputs!$E$19*$B32)</f>
        <v/>
      </c>
      <c r="D32" s="5">
        <f>MAX(0,($D$6/(D$23*(1+Inputs!$E$24)/(1+Inputs!$E$10)*(1-$D$5))/Inputs!$E$9)-Inputs!$E$23)/(Inputs!$E$19*$B32)</f>
        <v/>
      </c>
      <c r="E32" s="5">
        <f>MAX(0,($D$6/(E$23*(1+Inputs!$E$24)/(1+Inputs!$E$10)*(1-$D$5))/Inputs!$E$9)-Inputs!$E$23)/(Inputs!$E$19*$B32)</f>
        <v/>
      </c>
      <c r="F32" s="5">
        <f>MAX(0,($D$6/(F$23*(1+Inputs!$E$24)/(1+Inputs!$E$10)*(1-$D$5))/Inputs!$E$9)-Inputs!$E$23)/(Inputs!$E$19*$B32)</f>
        <v/>
      </c>
      <c r="G32" s="5">
        <f>MAX(0,($D$6/(G$23*(1+Inputs!$E$24)/(1+Inputs!$E$10)*(1-$D$5))/Inputs!$E$9)-Inputs!$E$23)/(Inputs!$E$19*$B32)</f>
        <v/>
      </c>
      <c r="H32" s="5">
        <f>MAX(0,($D$6/(H$23*(1+Inputs!$E$24)/(1+Inputs!$E$10)*(1-$D$5))/Inputs!$E$9)-Inputs!$E$23)/(Inputs!$E$19*$B32)</f>
        <v/>
      </c>
      <c r="I32" s="5">
        <f>MAX(0,($D$6/(I$23*(1+Inputs!$E$24)/(1+Inputs!$E$10)*(1-$D$5))/Inputs!$E$9)-Inputs!$E$23)/(Inputs!$E$19*$B32)</f>
        <v/>
      </c>
      <c r="J32" s="5">
        <f>MAX(0,($D$6/(J$23*(1+Inputs!$E$24)/(1+Inputs!$E$10)*(1-$D$5))/Inputs!$E$9)-Inputs!$E$23)/(Inputs!$E$19*$B32)</f>
        <v/>
      </c>
      <c r="K32" s="5">
        <f>MAX(0,($D$6/(K$23*(1+Inputs!$E$24)/(1+Inputs!$E$10)*(1-$D$5))/Inputs!$E$9)-Inputs!$E$23)/(Inputs!$E$19*$B32)</f>
        <v/>
      </c>
    </row>
    <row r="33">
      <c r="B33" s="20" t="n">
        <v>0.04</v>
      </c>
      <c r="C33" s="5">
        <f>MAX(0,($D$6/(C$23*(1+Inputs!$E$24)/(1+Inputs!$E$10)*(1-$D$5))/Inputs!$E$9)-Inputs!$E$23)/(Inputs!$E$19*$B33)</f>
        <v/>
      </c>
      <c r="D33" s="5">
        <f>MAX(0,($D$6/(D$23*(1+Inputs!$E$24)/(1+Inputs!$E$10)*(1-$D$5))/Inputs!$E$9)-Inputs!$E$23)/(Inputs!$E$19*$B33)</f>
        <v/>
      </c>
      <c r="E33" s="5">
        <f>MAX(0,($D$6/(E$23*(1+Inputs!$E$24)/(1+Inputs!$E$10)*(1-$D$5))/Inputs!$E$9)-Inputs!$E$23)/(Inputs!$E$19*$B33)</f>
        <v/>
      </c>
      <c r="F33" s="5">
        <f>MAX(0,($D$6/(F$23*(1+Inputs!$E$24)/(1+Inputs!$E$10)*(1-$D$5))/Inputs!$E$9)-Inputs!$E$23)/(Inputs!$E$19*$B33)</f>
        <v/>
      </c>
      <c r="G33" s="5">
        <f>MAX(0,($D$6/(G$23*(1+Inputs!$E$24)/(1+Inputs!$E$10)*(1-$D$5))/Inputs!$E$9)-Inputs!$E$23)/(Inputs!$E$19*$B33)</f>
        <v/>
      </c>
      <c r="H33" s="5">
        <f>MAX(0,($D$6/(H$23*(1+Inputs!$E$24)/(1+Inputs!$E$10)*(1-$D$5))/Inputs!$E$9)-Inputs!$E$23)/(Inputs!$E$19*$B33)</f>
        <v/>
      </c>
      <c r="I33" s="5">
        <f>MAX(0,($D$6/(I$23*(1+Inputs!$E$24)/(1+Inputs!$E$10)*(1-$D$5))/Inputs!$E$9)-Inputs!$E$23)/(Inputs!$E$19*$B33)</f>
        <v/>
      </c>
      <c r="J33" s="5">
        <f>MAX(0,($D$6/(J$23*(1+Inputs!$E$24)/(1+Inputs!$E$10)*(1-$D$5))/Inputs!$E$9)-Inputs!$E$23)/(Inputs!$E$19*$B33)</f>
        <v/>
      </c>
      <c r="K33" s="5">
        <f>MAX(0,($D$6/(K$23*(1+Inputs!$E$24)/(1+Inputs!$E$10)*(1-$D$5))/Inputs!$E$9)-Inputs!$E$23)/(Inputs!$E$19*$B33)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8" t="inlineStr">
        <is>
          <t>Drive-thru — sensitivity of Year-3 EBITDA (base scenario)</t>
        </is>
      </c>
    </row>
    <row r="2">
      <c r="A2" t="inlineStr">
        <is>
          <t>Tornado values are computed by model/engine.py (static, regenerate after changing inputs). Grid below is formula-driven.</t>
        </is>
      </c>
    </row>
    <row r="4">
      <c r="A4" s="2" t="inlineStr">
        <is>
          <t>Driver (flexed)</t>
        </is>
      </c>
      <c r="B4" s="2" t="inlineStr">
        <is>
          <t>Low case EBITDA Y3</t>
        </is>
      </c>
      <c r="C4" s="2" t="inlineStr">
        <is>
          <t>High case EBITDA Y3</t>
        </is>
      </c>
      <c r="D4" s="2" t="inlineStr">
        <is>
          <t>Swing</t>
        </is>
      </c>
      <c r="E4" s="2" t="inlineStr">
        <is>
          <t>Base EBITDA Y3</t>
        </is>
      </c>
    </row>
    <row r="5">
      <c r="A5" t="inlineStr">
        <is>
          <t>Capture rate ±30%</t>
        </is>
      </c>
      <c r="B5" s="3" t="n">
        <v>-10940263</v>
      </c>
      <c r="C5" s="3" t="n">
        <v>44201050</v>
      </c>
      <c r="D5" s="3">
        <f>ABS(C5-B5)</f>
        <v/>
      </c>
      <c r="E5" s="3" t="n">
        <v>16630393</v>
      </c>
    </row>
    <row r="6">
      <c r="A6" t="inlineStr">
        <is>
          <t>Passing traffic ±20%</t>
        </is>
      </c>
      <c r="B6" s="3" t="n">
        <v>-1750044</v>
      </c>
      <c r="C6" s="3" t="n">
        <v>35010831</v>
      </c>
      <c r="D6" s="3">
        <f>ABS(C6-B6)</f>
        <v/>
      </c>
      <c r="E6" s="3" t="n">
        <v>16630393</v>
      </c>
    </row>
    <row r="7">
      <c r="A7" t="inlineStr">
        <is>
          <t>Accessible share ±20%</t>
        </is>
      </c>
      <c r="B7" s="3" t="n">
        <v>-1750044</v>
      </c>
      <c r="C7" s="3" t="n">
        <v>35010831</v>
      </c>
      <c r="D7" s="3">
        <f>ABS(C7-B7)</f>
        <v/>
      </c>
      <c r="E7" s="3" t="n">
        <v>16630393</v>
      </c>
    </row>
    <row r="8">
      <c r="A8" t="inlineStr">
        <is>
          <t>Average ticket ±15%</t>
        </is>
      </c>
      <c r="B8" s="3" t="n">
        <v>1374153</v>
      </c>
      <c r="C8" s="3" t="n">
        <v>31886633</v>
      </c>
      <c r="D8" s="3">
        <f>ABS(C8-B8)</f>
        <v/>
      </c>
      <c r="E8" s="3" t="n">
        <v>16630393</v>
      </c>
    </row>
    <row r="9">
      <c r="A9" t="inlineStr">
        <is>
          <t>Labour cost ±20%</t>
        </is>
      </c>
      <c r="B9" s="3" t="n">
        <v>26052325</v>
      </c>
      <c r="C9" s="3" t="n">
        <v>7208462</v>
      </c>
      <c r="D9" s="3">
        <f>ABS(C9-B9)</f>
        <v/>
      </c>
      <c r="E9" s="3" t="n">
        <v>16630393</v>
      </c>
    </row>
    <row r="10">
      <c r="A10" t="inlineStr">
        <is>
          <t>Rent ±30%</t>
        </is>
      </c>
      <c r="B10" s="3" t="n">
        <v>22471033</v>
      </c>
      <c r="C10" s="3" t="n">
        <v>10789753</v>
      </c>
      <c r="D10" s="3">
        <f>ABS(C10-B10)</f>
        <v/>
      </c>
      <c r="E10" s="3" t="n">
        <v>16630393</v>
      </c>
    </row>
    <row r="11">
      <c r="A11" t="inlineStr">
        <is>
          <t>COGS ±3 pp</t>
        </is>
      </c>
      <c r="B11" s="3" t="n">
        <v>21830202</v>
      </c>
      <c r="C11" s="3" t="n">
        <v>11430584</v>
      </c>
      <c r="D11" s="3">
        <f>ABS(C11-B11)</f>
        <v/>
      </c>
      <c r="E11" s="3" t="n">
        <v>16630393</v>
      </c>
    </row>
    <row r="12">
      <c r="A12" t="inlineStr">
        <is>
          <t>Seasonality amplitude ±30%</t>
        </is>
      </c>
      <c r="B12" s="3" t="n">
        <v>17511034</v>
      </c>
      <c r="C12" s="3" t="n">
        <v>15749753</v>
      </c>
      <c r="D12" s="3">
        <f>ABS(C12-B12)</f>
        <v/>
      </c>
      <c r="E12" s="3" t="n">
        <v>16630393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16" customWidth="1" min="4" max="4"/>
    <col width="16" customWidth="1" min="5" max="5"/>
    <col width="13" customWidth="1" min="6" max="6"/>
    <col width="80" customWidth="1" min="7" max="7"/>
  </cols>
  <sheetData>
    <row r="1">
      <c r="A1" s="8" t="inlineStr">
        <is>
          <t>Drive-thru — startup investment by concept (AMD, excl. VAT)</t>
        </is>
      </c>
    </row>
    <row r="2">
      <c r="A2" t="inlineStr">
        <is>
          <t>Line items with status tags. USD at the Inputs exchange rate. Detailed build-ups in the report (Phase 6).</t>
        </is>
      </c>
    </row>
    <row r="4">
      <c r="A4" s="2" t="inlineStr">
        <is>
          <t>Line item</t>
        </is>
      </c>
      <c r="B4" s="2" t="inlineStr">
        <is>
          <t>Depreciation class</t>
        </is>
      </c>
      <c r="C4" s="2" t="inlineStr">
        <is>
          <t>Lean</t>
        </is>
      </c>
      <c r="D4" s="2" t="inlineStr">
        <is>
          <t>Mid-range</t>
        </is>
      </c>
      <c r="E4" s="2" t="inlineStr">
        <is>
          <t>Flagship</t>
        </is>
      </c>
      <c r="F4" s="2" t="inlineStr">
        <is>
          <t>Status</t>
        </is>
      </c>
      <c r="G4" s="2" t="inlineStr">
        <is>
          <t>Source / basis</t>
        </is>
      </c>
    </row>
    <row r="5">
      <c r="A5" t="inlineStr">
        <is>
          <t>Modular building</t>
        </is>
      </c>
      <c r="B5" t="inlineStr">
        <is>
          <t>building</t>
        </is>
      </c>
      <c r="C5" s="21" t="n">
        <v>40000000</v>
      </c>
      <c r="D5" s="21" t="n">
        <v>0</v>
      </c>
      <c r="E5" s="21" t="n">
        <v>0</v>
      </c>
      <c r="F5" t="inlineStr">
        <is>
          <t>ASSUMPTION</t>
        </is>
      </c>
      <c r="G5" t="inlineStr">
        <is>
          <t>PLACEHOLDER</t>
        </is>
      </c>
    </row>
    <row r="6">
      <c r="A6" t="inlineStr">
        <is>
          <t>Site works</t>
        </is>
      </c>
      <c r="B6" t="inlineStr">
        <is>
          <t>site_works</t>
        </is>
      </c>
      <c r="C6" s="21" t="n">
        <v>30000000</v>
      </c>
      <c r="D6" s="21" t="n">
        <v>55000000</v>
      </c>
      <c r="E6" s="21" t="n">
        <v>75000000</v>
      </c>
      <c r="F6" t="inlineStr">
        <is>
          <t>ASSUMPTION</t>
        </is>
      </c>
      <c r="G6" t="inlineStr">
        <is>
          <t>PLACEHOLDER</t>
        </is>
      </c>
    </row>
    <row r="7">
      <c r="A7" t="inlineStr">
        <is>
          <t>Equipment</t>
        </is>
      </c>
      <c r="B7" t="inlineStr">
        <is>
          <t>equipment</t>
        </is>
      </c>
      <c r="C7" s="21" t="n">
        <v>25000000</v>
      </c>
      <c r="D7" s="21" t="n">
        <v>40000000</v>
      </c>
      <c r="E7" s="21" t="n">
        <v>55000000</v>
      </c>
      <c r="F7" t="inlineStr">
        <is>
          <t>ASSUMPTION</t>
        </is>
      </c>
      <c r="G7" t="inlineStr">
        <is>
          <t>PLACEHOLDER</t>
        </is>
      </c>
    </row>
    <row r="8">
      <c r="A8" t="inlineStr">
        <is>
          <t>Technology</t>
        </is>
      </c>
      <c r="B8" t="inlineStr">
        <is>
          <t>technology</t>
        </is>
      </c>
      <c r="C8" s="21" t="n">
        <v>4000000</v>
      </c>
      <c r="D8" s="21" t="n">
        <v>6000000</v>
      </c>
      <c r="E8" s="21" t="n">
        <v>9000000</v>
      </c>
      <c r="F8" t="inlineStr">
        <is>
          <t>ASSUMPTION</t>
        </is>
      </c>
      <c r="G8" t="inlineStr">
        <is>
          <t>PLACEHOLDER</t>
        </is>
      </c>
    </row>
    <row r="9">
      <c r="A9" t="inlineStr">
        <is>
          <t>Signage</t>
        </is>
      </c>
      <c r="B9" t="inlineStr">
        <is>
          <t>signage</t>
        </is>
      </c>
      <c r="C9" s="21" t="n">
        <v>6000000</v>
      </c>
      <c r="D9" s="21" t="n">
        <v>12000000</v>
      </c>
      <c r="E9" s="21" t="n">
        <v>18000000</v>
      </c>
      <c r="F9" t="inlineStr">
        <is>
          <t>ASSUMPTION</t>
        </is>
      </c>
      <c r="G9" t="inlineStr">
        <is>
          <t>PLACEHOLDER</t>
        </is>
      </c>
    </row>
    <row r="10">
      <c r="A10" t="inlineStr">
        <is>
          <t>Soft costs</t>
        </is>
      </c>
      <c r="B10" t="inlineStr">
        <is>
          <t>soft</t>
        </is>
      </c>
      <c r="C10" s="21" t="n">
        <v>8000000</v>
      </c>
      <c r="D10" s="21" t="n">
        <v>15000000</v>
      </c>
      <c r="E10" s="21" t="n">
        <v>22000000</v>
      </c>
      <c r="F10" t="inlineStr">
        <is>
          <t>ASSUMPTION</t>
        </is>
      </c>
      <c r="G10" t="inlineStr">
        <is>
          <t>PLACEHOLDER</t>
        </is>
      </c>
    </row>
    <row r="11">
      <c r="A11" t="inlineStr">
        <is>
          <t>Contingency</t>
        </is>
      </c>
      <c r="B11" t="inlineStr">
        <is>
          <t>site_works</t>
        </is>
      </c>
      <c r="C11" s="21" t="n">
        <v>10000000</v>
      </c>
      <c r="D11" s="21" t="n">
        <v>20000000</v>
      </c>
      <c r="E11" s="21" t="n">
        <v>30000000</v>
      </c>
      <c r="F11" t="inlineStr">
        <is>
          <t>ASSUMPTION</t>
        </is>
      </c>
      <c r="G11" t="inlineStr">
        <is>
          <t>PLACEHOLDER</t>
        </is>
      </c>
    </row>
    <row r="12">
      <c r="A12" t="inlineStr">
        <is>
          <t>Building</t>
        </is>
      </c>
      <c r="B12" t="inlineStr">
        <is>
          <t>building</t>
        </is>
      </c>
      <c r="C12" s="21" t="n">
        <v>0</v>
      </c>
      <c r="D12" s="21" t="n">
        <v>90000000</v>
      </c>
      <c r="E12" s="21" t="n">
        <v>150000000</v>
      </c>
      <c r="F12" t="inlineStr">
        <is>
          <t>ASSUMPTION</t>
        </is>
      </c>
      <c r="G12" t="inlineStr">
        <is>
          <t>PLACEHOLDER</t>
        </is>
      </c>
    </row>
    <row r="13">
      <c r="A13" s="18" t="inlineStr">
        <is>
          <t>TOTAL CAPEX</t>
        </is>
      </c>
      <c r="C13" s="22">
        <f>SUM(C5:C12)</f>
        <v/>
      </c>
      <c r="D13" s="22">
        <f>SUM(D5:D12)</f>
        <v/>
      </c>
      <c r="E13" s="22">
        <f>SUM(E5:E12)</f>
        <v/>
      </c>
    </row>
    <row r="14">
      <c r="A14" t="inlineStr">
        <is>
          <t>Pre-opening costs (from Inputs)</t>
        </is>
      </c>
      <c r="C14" s="3">
        <f>Inputs!D81</f>
        <v/>
      </c>
      <c r="D14" s="3">
        <f>Inputs!E81</f>
        <v/>
      </c>
      <c r="E14" s="3">
        <f>Inputs!F81</f>
        <v/>
      </c>
    </row>
    <row r="15">
      <c r="A15" s="18" t="inlineStr">
        <is>
          <t>TOTAL INVESTMENT (capex + pre-opening)</t>
        </is>
      </c>
      <c r="C15" s="22">
        <f>C13+C14</f>
        <v/>
      </c>
      <c r="D15" s="22">
        <f>D13+D14</f>
        <v/>
      </c>
      <c r="E15" s="22">
        <f>E13+E14</f>
        <v/>
      </c>
    </row>
    <row r="16">
      <c r="A16" s="18" t="inlineStr">
        <is>
          <t>TOTAL INVESTMENT (USD)</t>
        </is>
      </c>
      <c r="C16" s="23">
        <f>C15/Inputs!$E$7</f>
        <v/>
      </c>
      <c r="D16" s="23">
        <f>D15/Inputs!$E$7</f>
        <v/>
      </c>
      <c r="E16" s="23">
        <f>E15/Inputs!$E$7</f>
        <v/>
      </c>
    </row>
    <row r="18">
      <c r="A18" s="18" t="inlineStr">
        <is>
          <t>Capex by depreciation class</t>
        </is>
      </c>
    </row>
    <row r="19">
      <c r="A19" t="inlineStr">
        <is>
          <t>building</t>
        </is>
      </c>
      <c r="C19" s="3">
        <f>SUMIF($B$5:$B$12,"building",C$5:C$12)</f>
        <v/>
      </c>
      <c r="D19" s="3">
        <f>SUMIF($B$5:$B$12,"building",D$5:D$12)</f>
        <v/>
      </c>
      <c r="E19" s="3">
        <f>SUMIF($B$5:$B$12,"building",E$5:E$12)</f>
        <v/>
      </c>
    </row>
    <row r="20">
      <c r="A20" t="inlineStr">
        <is>
          <t>site_works</t>
        </is>
      </c>
      <c r="C20" s="3">
        <f>SUMIF($B$5:$B$12,"site_works",C$5:C$12)</f>
        <v/>
      </c>
      <c r="D20" s="3">
        <f>SUMIF($B$5:$B$12,"site_works",D$5:D$12)</f>
        <v/>
      </c>
      <c r="E20" s="3">
        <f>SUMIF($B$5:$B$12,"site_works",E$5:E$12)</f>
        <v/>
      </c>
    </row>
    <row r="21">
      <c r="A21" t="inlineStr">
        <is>
          <t>equipment</t>
        </is>
      </c>
      <c r="C21" s="3">
        <f>SUMIF($B$5:$B$12,"equipment",C$5:C$12)</f>
        <v/>
      </c>
      <c r="D21" s="3">
        <f>SUMIF($B$5:$B$12,"equipment",D$5:D$12)</f>
        <v/>
      </c>
      <c r="E21" s="3">
        <f>SUMIF($B$5:$B$12,"equipment",E$5:E$12)</f>
        <v/>
      </c>
    </row>
    <row r="22">
      <c r="A22" t="inlineStr">
        <is>
          <t>technology</t>
        </is>
      </c>
      <c r="C22" s="3">
        <f>SUMIF($B$5:$B$12,"technology",C$5:C$12)</f>
        <v/>
      </c>
      <c r="D22" s="3">
        <f>SUMIF($B$5:$B$12,"technology",D$5:D$12)</f>
        <v/>
      </c>
      <c r="E22" s="3">
        <f>SUMIF($B$5:$B$12,"technology",E$5:E$12)</f>
        <v/>
      </c>
    </row>
    <row r="23">
      <c r="A23" t="inlineStr">
        <is>
          <t>signage</t>
        </is>
      </c>
      <c r="C23" s="3">
        <f>SUMIF($B$5:$B$12,"signage",C$5:C$12)</f>
        <v/>
      </c>
      <c r="D23" s="3">
        <f>SUMIF($B$5:$B$12,"signage",D$5:D$12)</f>
        <v/>
      </c>
      <c r="E23" s="3">
        <f>SUMIF($B$5:$B$12,"signage",E$5:E$12)</f>
        <v/>
      </c>
    </row>
    <row r="24">
      <c r="A24" t="inlineStr">
        <is>
          <t>soft</t>
        </is>
      </c>
      <c r="C24" s="3">
        <f>SUMIF($B$5:$B$12,"soft",C$5:C$12)</f>
        <v/>
      </c>
      <c r="D24" s="3">
        <f>SUMIF($B$5:$B$12,"soft",D$5:D$12)</f>
        <v/>
      </c>
      <c r="E24" s="3">
        <f>SUMIF($B$5:$B$12,"soft",E$5:E$12)</f>
        <v/>
      </c>
    </row>
    <row r="25">
      <c r="A25" t="inlineStr">
        <is>
          <t>land</t>
        </is>
      </c>
      <c r="C25" s="3">
        <f>SUMIF($B$5:$B$12,"land",C$5:C$12)</f>
        <v/>
      </c>
      <c r="D25" s="3">
        <f>SUMIF($B$5:$B$12,"land",D$5:D$12)</f>
        <v/>
      </c>
      <c r="E25" s="3">
        <f>SUMIF($B$5:$B$12,"land",E$5:E$12)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8" t="inlineStr">
        <is>
          <t>Drive-thru — monthly engine — CONSERVATIVE scenario (AMD)</t>
        </is>
      </c>
    </row>
    <row r="2">
      <c r="B2" s="18" t="inlineStr">
        <is>
          <t>Units</t>
        </is>
      </c>
      <c r="C2" s="18">
        <f>CHOOSE(C5,"Jan","Feb","Mar","Apr","May","Jun","Jul","Aug","Sep","Oct","Nov","Dec")&amp;" Y"&amp;C4</f>
        <v/>
      </c>
      <c r="D2" s="18">
        <f>CHOOSE(D5,"Jan","Feb","Mar","Apr","May","Jun","Jul","Aug","Sep","Oct","Nov","Dec")&amp;" Y"&amp;D4</f>
        <v/>
      </c>
      <c r="E2" s="18">
        <f>CHOOSE(E5,"Jan","Feb","Mar","Apr","May","Jun","Jul","Aug","Sep","Oct","Nov","Dec")&amp;" Y"&amp;E4</f>
        <v/>
      </c>
      <c r="F2" s="18">
        <f>CHOOSE(F5,"Jan","Feb","Mar","Apr","May","Jun","Jul","Aug","Sep","Oct","Nov","Dec")&amp;" Y"&amp;F4</f>
        <v/>
      </c>
      <c r="G2" s="18">
        <f>CHOOSE(G5,"Jan","Feb","Mar","Apr","May","Jun","Jul","Aug","Sep","Oct","Nov","Dec")&amp;" Y"&amp;G4</f>
        <v/>
      </c>
      <c r="H2" s="18">
        <f>CHOOSE(H5,"Jan","Feb","Mar","Apr","May","Jun","Jul","Aug","Sep","Oct","Nov","Dec")&amp;" Y"&amp;H4</f>
        <v/>
      </c>
      <c r="I2" s="18">
        <f>CHOOSE(I5,"Jan","Feb","Mar","Apr","May","Jun","Jul","Aug","Sep","Oct","Nov","Dec")&amp;" Y"&amp;I4</f>
        <v/>
      </c>
      <c r="J2" s="18">
        <f>CHOOSE(J5,"Jan","Feb","Mar","Apr","May","Jun","Jul","Aug","Sep","Oct","Nov","Dec")&amp;" Y"&amp;J4</f>
        <v/>
      </c>
      <c r="K2" s="18">
        <f>CHOOSE(K5,"Jan","Feb","Mar","Apr","May","Jun","Jul","Aug","Sep","Oct","Nov","Dec")&amp;" Y"&amp;K4</f>
        <v/>
      </c>
      <c r="L2" s="18">
        <f>CHOOSE(L5,"Jan","Feb","Mar","Apr","May","Jun","Jul","Aug","Sep","Oct","Nov","Dec")&amp;" Y"&amp;L4</f>
        <v/>
      </c>
      <c r="M2" s="18">
        <f>CHOOSE(M5,"Jan","Feb","Mar","Apr","May","Jun","Jul","Aug","Sep","Oct","Nov","Dec")&amp;" Y"&amp;M4</f>
        <v/>
      </c>
      <c r="N2" s="18">
        <f>CHOOSE(N5,"Jan","Feb","Mar","Apr","May","Jun","Jul","Aug","Sep","Oct","Nov","Dec")&amp;" Y"&amp;N4</f>
        <v/>
      </c>
      <c r="O2" s="18">
        <f>CHOOSE(O5,"Jan","Feb","Mar","Apr","May","Jun","Jul","Aug","Sep","Oct","Nov","Dec")&amp;" Y"&amp;O4</f>
        <v/>
      </c>
      <c r="P2" s="18">
        <f>CHOOSE(P5,"Jan","Feb","Mar","Apr","May","Jun","Jul","Aug","Sep","Oct","Nov","Dec")&amp;" Y"&amp;P4</f>
        <v/>
      </c>
      <c r="Q2" s="18">
        <f>CHOOSE(Q5,"Jan","Feb","Mar","Apr","May","Jun","Jul","Aug","Sep","Oct","Nov","Dec")&amp;" Y"&amp;Q4</f>
        <v/>
      </c>
      <c r="R2" s="18">
        <f>CHOOSE(R5,"Jan","Feb","Mar","Apr","May","Jun","Jul","Aug","Sep","Oct","Nov","Dec")&amp;" Y"&amp;R4</f>
        <v/>
      </c>
      <c r="S2" s="18">
        <f>CHOOSE(S5,"Jan","Feb","Mar","Apr","May","Jun","Jul","Aug","Sep","Oct","Nov","Dec")&amp;" Y"&amp;S4</f>
        <v/>
      </c>
      <c r="T2" s="18">
        <f>CHOOSE(T5,"Jan","Feb","Mar","Apr","May","Jun","Jul","Aug","Sep","Oct","Nov","Dec")&amp;" Y"&amp;T4</f>
        <v/>
      </c>
      <c r="U2" s="18">
        <f>CHOOSE(U5,"Jan","Feb","Mar","Apr","May","Jun","Jul","Aug","Sep","Oct","Nov","Dec")&amp;" Y"&amp;U4</f>
        <v/>
      </c>
      <c r="V2" s="18">
        <f>CHOOSE(V5,"Jan","Feb","Mar","Apr","May","Jun","Jul","Aug","Sep","Oct","Nov","Dec")&amp;" Y"&amp;V4</f>
        <v/>
      </c>
      <c r="W2" s="18">
        <f>CHOOSE(W5,"Jan","Feb","Mar","Apr","May","Jun","Jul","Aug","Sep","Oct","Nov","Dec")&amp;" Y"&amp;W4</f>
        <v/>
      </c>
      <c r="X2" s="18">
        <f>CHOOSE(X5,"Jan","Feb","Mar","Apr","May","Jun","Jul","Aug","Sep","Oct","Nov","Dec")&amp;" Y"&amp;X4</f>
        <v/>
      </c>
      <c r="Y2" s="18">
        <f>CHOOSE(Y5,"Jan","Feb","Mar","Apr","May","Jun","Jul","Aug","Sep","Oct","Nov","Dec")&amp;" Y"&amp;Y4</f>
        <v/>
      </c>
      <c r="Z2" s="18">
        <f>CHOOSE(Z5,"Jan","Feb","Mar","Apr","May","Jun","Jul","Aug","Sep","Oct","Nov","Dec")&amp;" Y"&amp;Z4</f>
        <v/>
      </c>
      <c r="AA2" s="18">
        <f>CHOOSE(AA5,"Jan","Feb","Mar","Apr","May","Jun","Jul","Aug","Sep","Oct","Nov","Dec")&amp;" Y"&amp;AA4</f>
        <v/>
      </c>
      <c r="AB2" s="18">
        <f>CHOOSE(AB5,"Jan","Feb","Mar","Apr","May","Jun","Jul","Aug","Sep","Oct","Nov","Dec")&amp;" Y"&amp;AB4</f>
        <v/>
      </c>
      <c r="AC2" s="18">
        <f>CHOOSE(AC5,"Jan","Feb","Mar","Apr","May","Jun","Jul","Aug","Sep","Oct","Nov","Dec")&amp;" Y"&amp;AC4</f>
        <v/>
      </c>
      <c r="AD2" s="18">
        <f>CHOOSE(AD5,"Jan","Feb","Mar","Apr","May","Jun","Jul","Aug","Sep","Oct","Nov","Dec")&amp;" Y"&amp;AD4</f>
        <v/>
      </c>
      <c r="AE2" s="18">
        <f>CHOOSE(AE5,"Jan","Feb","Mar","Apr","May","Jun","Jul","Aug","Sep","Oct","Nov","Dec")&amp;" Y"&amp;AE4</f>
        <v/>
      </c>
      <c r="AF2" s="18">
        <f>CHOOSE(AF5,"Jan","Feb","Mar","Apr","May","Jun","Jul","Aug","Sep","Oct","Nov","Dec")&amp;" Y"&amp;AF4</f>
        <v/>
      </c>
      <c r="AG2" s="18">
        <f>CHOOSE(AG5,"Jan","Feb","Mar","Apr","May","Jun","Jul","Aug","Sep","Oct","Nov","Dec")&amp;" Y"&amp;AG4</f>
        <v/>
      </c>
      <c r="AH2" s="18">
        <f>CHOOSE(AH5,"Jan","Feb","Mar","Apr","May","Jun","Jul","Aug","Sep","Oct","Nov","Dec")&amp;" Y"&amp;AH4</f>
        <v/>
      </c>
      <c r="AI2" s="18">
        <f>CHOOSE(AI5,"Jan","Feb","Mar","Apr","May","Jun","Jul","Aug","Sep","Oct","Nov","Dec")&amp;" Y"&amp;AI4</f>
        <v/>
      </c>
      <c r="AJ2" s="18">
        <f>CHOOSE(AJ5,"Jan","Feb","Mar","Apr","May","Jun","Jul","Aug","Sep","Oct","Nov","Dec")&amp;" Y"&amp;AJ4</f>
        <v/>
      </c>
      <c r="AK2" s="18">
        <f>CHOOSE(AK5,"Jan","Feb","Mar","Apr","May","Jun","Jul","Aug","Sep","Oct","Nov","Dec")&amp;" Y"&amp;AK4</f>
        <v/>
      </c>
      <c r="AL2" s="18">
        <f>CHOOSE(AL5,"Jan","Feb","Mar","Apr","May","Jun","Jul","Aug","Sep","Oct","Nov","Dec")&amp;" Y"&amp;AL4</f>
        <v/>
      </c>
      <c r="AM2" s="18">
        <f>CHOOSE(AM5,"Jan","Feb","Mar","Apr","May","Jun","Jul","Aug","Sep","Oct","Nov","Dec")&amp;" Y"&amp;AM4</f>
        <v/>
      </c>
      <c r="AN2" s="18">
        <f>CHOOSE(AN5,"Jan","Feb","Mar","Apr","May","Jun","Jul","Aug","Sep","Oct","Nov","Dec")&amp;" Y"&amp;AN4</f>
        <v/>
      </c>
      <c r="AO2" s="18">
        <f>CHOOSE(AO5,"Jan","Feb","Mar","Apr","May","Jun","Jul","Aug","Sep","Oct","Nov","Dec")&amp;" Y"&amp;AO4</f>
        <v/>
      </c>
      <c r="AP2" s="18">
        <f>CHOOSE(AP5,"Jan","Feb","Mar","Apr","May","Jun","Jul","Aug","Sep","Oct","Nov","Dec")&amp;" Y"&amp;AP4</f>
        <v/>
      </c>
      <c r="AQ2" s="18">
        <f>CHOOSE(AQ5,"Jan","Feb","Mar","Apr","May","Jun","Jul","Aug","Sep","Oct","Nov","Dec")&amp;" Y"&amp;AQ4</f>
        <v/>
      </c>
      <c r="AR2" s="18">
        <f>CHOOSE(AR5,"Jan","Feb","Mar","Apr","May","Jun","Jul","Aug","Sep","Oct","Nov","Dec")&amp;" Y"&amp;AR4</f>
        <v/>
      </c>
      <c r="AS2" s="18">
        <f>CHOOSE(AS5,"Jan","Feb","Mar","Apr","May","Jun","Jul","Aug","Sep","Oct","Nov","Dec")&amp;" Y"&amp;AS4</f>
        <v/>
      </c>
      <c r="AT2" s="18">
        <f>CHOOSE(AT5,"Jan","Feb","Mar","Apr","May","Jun","Jul","Aug","Sep","Oct","Nov","Dec")&amp;" Y"&amp;AT4</f>
        <v/>
      </c>
      <c r="AU2" s="18">
        <f>CHOOSE(AU5,"Jan","Feb","Mar","Apr","May","Jun","Jul","Aug","Sep","Oct","Nov","Dec")&amp;" Y"&amp;AU4</f>
        <v/>
      </c>
      <c r="AV2" s="18">
        <f>CHOOSE(AV5,"Jan","Feb","Mar","Apr","May","Jun","Jul","Aug","Sep","Oct","Nov","Dec")&amp;" Y"&amp;AV4</f>
        <v/>
      </c>
      <c r="AW2" s="18">
        <f>CHOOSE(AW5,"Jan","Feb","Mar","Apr","May","Jun","Jul","Aug","Sep","Oct","Nov","Dec")&amp;" Y"&amp;AW4</f>
        <v/>
      </c>
      <c r="AX2" s="18">
        <f>CHOOSE(AX5,"Jan","Feb","Mar","Apr","May","Jun","Jul","Aug","Sep","Oct","Nov","Dec")&amp;" Y"&amp;AX4</f>
        <v/>
      </c>
      <c r="AY2" s="18">
        <f>CHOOSE(AY5,"Jan","Feb","Mar","Apr","May","Jun","Jul","Aug","Sep","Oct","Nov","Dec")&amp;" Y"&amp;AY4</f>
        <v/>
      </c>
      <c r="AZ2" s="18">
        <f>CHOOSE(AZ5,"Jan","Feb","Mar","Apr","May","Jun","Jul","Aug","Sep","Oct","Nov","Dec")&amp;" Y"&amp;AZ4</f>
        <v/>
      </c>
      <c r="BA2" s="18">
        <f>CHOOSE(BA5,"Jan","Feb","Mar","Apr","May","Jun","Jul","Aug","Sep","Oct","Nov","Dec")&amp;" Y"&amp;BA4</f>
        <v/>
      </c>
      <c r="BB2" s="18">
        <f>CHOOSE(BB5,"Jan","Feb","Mar","Apr","May","Jun","Jul","Aug","Sep","Oct","Nov","Dec")&amp;" Y"&amp;BB4</f>
        <v/>
      </c>
      <c r="BC2" s="18">
        <f>CHOOSE(BC5,"Jan","Feb","Mar","Apr","May","Jun","Jul","Aug","Sep","Oct","Nov","Dec")&amp;" Y"&amp;BC4</f>
        <v/>
      </c>
      <c r="BD2" s="18">
        <f>CHOOSE(BD5,"Jan","Feb","Mar","Apr","May","Jun","Jul","Aug","Sep","Oct","Nov","Dec")&amp;" Y"&amp;BD4</f>
        <v/>
      </c>
      <c r="BE2" s="18">
        <f>CHOOSE(BE5,"Jan","Feb","Mar","Apr","May","Jun","Jul","Aug","Sep","Oct","Nov","Dec")&amp;" Y"&amp;BE4</f>
        <v/>
      </c>
      <c r="BF2" s="18">
        <f>CHOOSE(BF5,"Jan","Feb","Mar","Apr","May","Jun","Jul","Aug","Sep","Oct","Nov","Dec")&amp;" Y"&amp;BF4</f>
        <v/>
      </c>
      <c r="BG2" s="18">
        <f>CHOOSE(BG5,"Jan","Feb","Mar","Apr","May","Jun","Jul","Aug","Sep","Oct","Nov","Dec")&amp;" Y"&amp;BG4</f>
        <v/>
      </c>
      <c r="BH2" s="18">
        <f>CHOOSE(BH5,"Jan","Feb","Mar","Apr","May","Jun","Jul","Aug","Sep","Oct","Nov","Dec")&amp;" Y"&amp;BH4</f>
        <v/>
      </c>
      <c r="BI2" s="18">
        <f>CHOOSE(BI5,"Jan","Feb","Mar","Apr","May","Jun","Jul","Aug","Sep","Oct","Nov","Dec")&amp;" Y"&amp;BI4</f>
        <v/>
      </c>
      <c r="BJ2" s="18">
        <f>CHOOSE(BJ5,"Jan","Feb","Mar","Apr","May","Jun","Jul","Aug","Sep","Oct","Nov","Dec")&amp;" Y"&amp;BJ4</f>
        <v/>
      </c>
    </row>
    <row r="3">
      <c r="A3" t="inlineStr">
        <is>
          <t>Month #</t>
        </is>
      </c>
      <c r="C3" s="7" t="n">
        <v>1</v>
      </c>
      <c r="D3" s="7" t="n">
        <v>2</v>
      </c>
      <c r="E3" s="7" t="n">
        <v>3</v>
      </c>
      <c r="F3" s="7" t="n">
        <v>4</v>
      </c>
      <c r="G3" s="7" t="n">
        <v>5</v>
      </c>
      <c r="H3" s="7" t="n">
        <v>6</v>
      </c>
      <c r="I3" s="7" t="n">
        <v>7</v>
      </c>
      <c r="J3" s="7" t="n">
        <v>8</v>
      </c>
      <c r="K3" s="7" t="n">
        <v>9</v>
      </c>
      <c r="L3" s="7" t="n">
        <v>10</v>
      </c>
      <c r="M3" s="7" t="n">
        <v>11</v>
      </c>
      <c r="N3" s="7" t="n">
        <v>12</v>
      </c>
      <c r="O3" s="7" t="n">
        <v>13</v>
      </c>
      <c r="P3" s="7" t="n">
        <v>14</v>
      </c>
      <c r="Q3" s="7" t="n">
        <v>15</v>
      </c>
      <c r="R3" s="7" t="n">
        <v>16</v>
      </c>
      <c r="S3" s="7" t="n">
        <v>17</v>
      </c>
      <c r="T3" s="7" t="n">
        <v>18</v>
      </c>
      <c r="U3" s="7" t="n">
        <v>19</v>
      </c>
      <c r="V3" s="7" t="n">
        <v>20</v>
      </c>
      <c r="W3" s="7" t="n">
        <v>21</v>
      </c>
      <c r="X3" s="7" t="n">
        <v>22</v>
      </c>
      <c r="Y3" s="7" t="n">
        <v>23</v>
      </c>
      <c r="Z3" s="7" t="n">
        <v>24</v>
      </c>
      <c r="AA3" s="7" t="n">
        <v>25</v>
      </c>
      <c r="AB3" s="7" t="n">
        <v>26</v>
      </c>
      <c r="AC3" s="7" t="n">
        <v>27</v>
      </c>
      <c r="AD3" s="7" t="n">
        <v>28</v>
      </c>
      <c r="AE3" s="7" t="n">
        <v>29</v>
      </c>
      <c r="AF3" s="7" t="n">
        <v>30</v>
      </c>
      <c r="AG3" s="7" t="n">
        <v>31</v>
      </c>
      <c r="AH3" s="7" t="n">
        <v>32</v>
      </c>
      <c r="AI3" s="7" t="n">
        <v>33</v>
      </c>
      <c r="AJ3" s="7" t="n">
        <v>34</v>
      </c>
      <c r="AK3" s="7" t="n">
        <v>35</v>
      </c>
      <c r="AL3" s="7" t="n">
        <v>36</v>
      </c>
      <c r="AM3" s="7" t="n">
        <v>37</v>
      </c>
      <c r="AN3" s="7" t="n">
        <v>38</v>
      </c>
      <c r="AO3" s="7" t="n">
        <v>39</v>
      </c>
      <c r="AP3" s="7" t="n">
        <v>40</v>
      </c>
      <c r="AQ3" s="7" t="n">
        <v>41</v>
      </c>
      <c r="AR3" s="7" t="n">
        <v>42</v>
      </c>
      <c r="AS3" s="7" t="n">
        <v>43</v>
      </c>
      <c r="AT3" s="7" t="n">
        <v>44</v>
      </c>
      <c r="AU3" s="7" t="n">
        <v>45</v>
      </c>
      <c r="AV3" s="7" t="n">
        <v>46</v>
      </c>
      <c r="AW3" s="7" t="n">
        <v>47</v>
      </c>
      <c r="AX3" s="7" t="n">
        <v>48</v>
      </c>
      <c r="AY3" s="7" t="n">
        <v>49</v>
      </c>
      <c r="AZ3" s="7" t="n">
        <v>50</v>
      </c>
      <c r="BA3" s="7" t="n">
        <v>51</v>
      </c>
      <c r="BB3" s="7" t="n">
        <v>52</v>
      </c>
      <c r="BC3" s="7" t="n">
        <v>53</v>
      </c>
      <c r="BD3" s="7" t="n">
        <v>54</v>
      </c>
      <c r="BE3" s="7" t="n">
        <v>55</v>
      </c>
      <c r="BF3" s="7" t="n">
        <v>56</v>
      </c>
      <c r="BG3" s="7" t="n">
        <v>57</v>
      </c>
      <c r="BH3" s="7" t="n">
        <v>58</v>
      </c>
      <c r="BI3" s="7" t="n">
        <v>59</v>
      </c>
      <c r="BJ3" s="7" t="n">
        <v>60</v>
      </c>
    </row>
    <row r="4">
      <c r="A4" t="inlineStr">
        <is>
          <t>Year</t>
        </is>
      </c>
      <c r="C4" s="7">
        <f>INT((C3-1)/12)+1</f>
        <v/>
      </c>
      <c r="D4" s="7">
        <f>INT((D3-1)/12)+1</f>
        <v/>
      </c>
      <c r="E4" s="7">
        <f>INT((E3-1)/12)+1</f>
        <v/>
      </c>
      <c r="F4" s="7">
        <f>INT((F3-1)/12)+1</f>
        <v/>
      </c>
      <c r="G4" s="7">
        <f>INT((G3-1)/12)+1</f>
        <v/>
      </c>
      <c r="H4" s="7">
        <f>INT((H3-1)/12)+1</f>
        <v/>
      </c>
      <c r="I4" s="7">
        <f>INT((I3-1)/12)+1</f>
        <v/>
      </c>
      <c r="J4" s="7">
        <f>INT((J3-1)/12)+1</f>
        <v/>
      </c>
      <c r="K4" s="7">
        <f>INT((K3-1)/12)+1</f>
        <v/>
      </c>
      <c r="L4" s="7">
        <f>INT((L3-1)/12)+1</f>
        <v/>
      </c>
      <c r="M4" s="7">
        <f>INT((M3-1)/12)+1</f>
        <v/>
      </c>
      <c r="N4" s="7">
        <f>INT((N3-1)/12)+1</f>
        <v/>
      </c>
      <c r="O4" s="7">
        <f>INT((O3-1)/12)+1</f>
        <v/>
      </c>
      <c r="P4" s="7">
        <f>INT((P3-1)/12)+1</f>
        <v/>
      </c>
      <c r="Q4" s="7">
        <f>INT((Q3-1)/12)+1</f>
        <v/>
      </c>
      <c r="R4" s="7">
        <f>INT((R3-1)/12)+1</f>
        <v/>
      </c>
      <c r="S4" s="7">
        <f>INT((S3-1)/12)+1</f>
        <v/>
      </c>
      <c r="T4" s="7">
        <f>INT((T3-1)/12)+1</f>
        <v/>
      </c>
      <c r="U4" s="7">
        <f>INT((U3-1)/12)+1</f>
        <v/>
      </c>
      <c r="V4" s="7">
        <f>INT((V3-1)/12)+1</f>
        <v/>
      </c>
      <c r="W4" s="7">
        <f>INT((W3-1)/12)+1</f>
        <v/>
      </c>
      <c r="X4" s="7">
        <f>INT((X3-1)/12)+1</f>
        <v/>
      </c>
      <c r="Y4" s="7">
        <f>INT((Y3-1)/12)+1</f>
        <v/>
      </c>
      <c r="Z4" s="7">
        <f>INT((Z3-1)/12)+1</f>
        <v/>
      </c>
      <c r="AA4" s="7">
        <f>INT((AA3-1)/12)+1</f>
        <v/>
      </c>
      <c r="AB4" s="7">
        <f>INT((AB3-1)/12)+1</f>
        <v/>
      </c>
      <c r="AC4" s="7">
        <f>INT((AC3-1)/12)+1</f>
        <v/>
      </c>
      <c r="AD4" s="7">
        <f>INT((AD3-1)/12)+1</f>
        <v/>
      </c>
      <c r="AE4" s="7">
        <f>INT((AE3-1)/12)+1</f>
        <v/>
      </c>
      <c r="AF4" s="7">
        <f>INT((AF3-1)/12)+1</f>
        <v/>
      </c>
      <c r="AG4" s="7">
        <f>INT((AG3-1)/12)+1</f>
        <v/>
      </c>
      <c r="AH4" s="7">
        <f>INT((AH3-1)/12)+1</f>
        <v/>
      </c>
      <c r="AI4" s="7">
        <f>INT((AI3-1)/12)+1</f>
        <v/>
      </c>
      <c r="AJ4" s="7">
        <f>INT((AJ3-1)/12)+1</f>
        <v/>
      </c>
      <c r="AK4" s="7">
        <f>INT((AK3-1)/12)+1</f>
        <v/>
      </c>
      <c r="AL4" s="7">
        <f>INT((AL3-1)/12)+1</f>
        <v/>
      </c>
      <c r="AM4" s="7">
        <f>INT((AM3-1)/12)+1</f>
        <v/>
      </c>
      <c r="AN4" s="7">
        <f>INT((AN3-1)/12)+1</f>
        <v/>
      </c>
      <c r="AO4" s="7">
        <f>INT((AO3-1)/12)+1</f>
        <v/>
      </c>
      <c r="AP4" s="7">
        <f>INT((AP3-1)/12)+1</f>
        <v/>
      </c>
      <c r="AQ4" s="7">
        <f>INT((AQ3-1)/12)+1</f>
        <v/>
      </c>
      <c r="AR4" s="7">
        <f>INT((AR3-1)/12)+1</f>
        <v/>
      </c>
      <c r="AS4" s="7">
        <f>INT((AS3-1)/12)+1</f>
        <v/>
      </c>
      <c r="AT4" s="7">
        <f>INT((AT3-1)/12)+1</f>
        <v/>
      </c>
      <c r="AU4" s="7">
        <f>INT((AU3-1)/12)+1</f>
        <v/>
      </c>
      <c r="AV4" s="7">
        <f>INT((AV3-1)/12)+1</f>
        <v/>
      </c>
      <c r="AW4" s="7">
        <f>INT((AW3-1)/12)+1</f>
        <v/>
      </c>
      <c r="AX4" s="7">
        <f>INT((AX3-1)/12)+1</f>
        <v/>
      </c>
      <c r="AY4" s="7">
        <f>INT((AY3-1)/12)+1</f>
        <v/>
      </c>
      <c r="AZ4" s="7">
        <f>INT((AZ3-1)/12)+1</f>
        <v/>
      </c>
      <c r="BA4" s="7">
        <f>INT((BA3-1)/12)+1</f>
        <v/>
      </c>
      <c r="BB4" s="7">
        <f>INT((BB3-1)/12)+1</f>
        <v/>
      </c>
      <c r="BC4" s="7">
        <f>INT((BC3-1)/12)+1</f>
        <v/>
      </c>
      <c r="BD4" s="7">
        <f>INT((BD3-1)/12)+1</f>
        <v/>
      </c>
      <c r="BE4" s="7">
        <f>INT((BE3-1)/12)+1</f>
        <v/>
      </c>
      <c r="BF4" s="7">
        <f>INT((BF3-1)/12)+1</f>
        <v/>
      </c>
      <c r="BG4" s="7">
        <f>INT((BG3-1)/12)+1</f>
        <v/>
      </c>
      <c r="BH4" s="7">
        <f>INT((BH3-1)/12)+1</f>
        <v/>
      </c>
      <c r="BI4" s="7">
        <f>INT((BI3-1)/12)+1</f>
        <v/>
      </c>
      <c r="BJ4" s="7">
        <f>INT((BJ3-1)/12)+1</f>
        <v/>
      </c>
    </row>
    <row r="5">
      <c r="A5" t="inlineStr">
        <is>
          <t>Calendar month (1-12)</t>
        </is>
      </c>
      <c r="C5" s="7">
        <f>MOD(Inputs!$D$8-1+C3-1,12)+1</f>
        <v/>
      </c>
      <c r="D5" s="7">
        <f>MOD(Inputs!$D$8-1+D3-1,12)+1</f>
        <v/>
      </c>
      <c r="E5" s="7">
        <f>MOD(Inputs!$D$8-1+E3-1,12)+1</f>
        <v/>
      </c>
      <c r="F5" s="7">
        <f>MOD(Inputs!$D$8-1+F3-1,12)+1</f>
        <v/>
      </c>
      <c r="G5" s="7">
        <f>MOD(Inputs!$D$8-1+G3-1,12)+1</f>
        <v/>
      </c>
      <c r="H5" s="7">
        <f>MOD(Inputs!$D$8-1+H3-1,12)+1</f>
        <v/>
      </c>
      <c r="I5" s="7">
        <f>MOD(Inputs!$D$8-1+I3-1,12)+1</f>
        <v/>
      </c>
      <c r="J5" s="7">
        <f>MOD(Inputs!$D$8-1+J3-1,12)+1</f>
        <v/>
      </c>
      <c r="K5" s="7">
        <f>MOD(Inputs!$D$8-1+K3-1,12)+1</f>
        <v/>
      </c>
      <c r="L5" s="7">
        <f>MOD(Inputs!$D$8-1+L3-1,12)+1</f>
        <v/>
      </c>
      <c r="M5" s="7">
        <f>MOD(Inputs!$D$8-1+M3-1,12)+1</f>
        <v/>
      </c>
      <c r="N5" s="7">
        <f>MOD(Inputs!$D$8-1+N3-1,12)+1</f>
        <v/>
      </c>
      <c r="O5" s="7">
        <f>MOD(Inputs!$D$8-1+O3-1,12)+1</f>
        <v/>
      </c>
      <c r="P5" s="7">
        <f>MOD(Inputs!$D$8-1+P3-1,12)+1</f>
        <v/>
      </c>
      <c r="Q5" s="7">
        <f>MOD(Inputs!$D$8-1+Q3-1,12)+1</f>
        <v/>
      </c>
      <c r="R5" s="7">
        <f>MOD(Inputs!$D$8-1+R3-1,12)+1</f>
        <v/>
      </c>
      <c r="S5" s="7">
        <f>MOD(Inputs!$D$8-1+S3-1,12)+1</f>
        <v/>
      </c>
      <c r="T5" s="7">
        <f>MOD(Inputs!$D$8-1+T3-1,12)+1</f>
        <v/>
      </c>
      <c r="U5" s="7">
        <f>MOD(Inputs!$D$8-1+U3-1,12)+1</f>
        <v/>
      </c>
      <c r="V5" s="7">
        <f>MOD(Inputs!$D$8-1+V3-1,12)+1</f>
        <v/>
      </c>
      <c r="W5" s="7">
        <f>MOD(Inputs!$D$8-1+W3-1,12)+1</f>
        <v/>
      </c>
      <c r="X5" s="7">
        <f>MOD(Inputs!$D$8-1+X3-1,12)+1</f>
        <v/>
      </c>
      <c r="Y5" s="7">
        <f>MOD(Inputs!$D$8-1+Y3-1,12)+1</f>
        <v/>
      </c>
      <c r="Z5" s="7">
        <f>MOD(Inputs!$D$8-1+Z3-1,12)+1</f>
        <v/>
      </c>
      <c r="AA5" s="7">
        <f>MOD(Inputs!$D$8-1+AA3-1,12)+1</f>
        <v/>
      </c>
      <c r="AB5" s="7">
        <f>MOD(Inputs!$D$8-1+AB3-1,12)+1</f>
        <v/>
      </c>
      <c r="AC5" s="7">
        <f>MOD(Inputs!$D$8-1+AC3-1,12)+1</f>
        <v/>
      </c>
      <c r="AD5" s="7">
        <f>MOD(Inputs!$D$8-1+AD3-1,12)+1</f>
        <v/>
      </c>
      <c r="AE5" s="7">
        <f>MOD(Inputs!$D$8-1+AE3-1,12)+1</f>
        <v/>
      </c>
      <c r="AF5" s="7">
        <f>MOD(Inputs!$D$8-1+AF3-1,12)+1</f>
        <v/>
      </c>
      <c r="AG5" s="7">
        <f>MOD(Inputs!$D$8-1+AG3-1,12)+1</f>
        <v/>
      </c>
      <c r="AH5" s="7">
        <f>MOD(Inputs!$D$8-1+AH3-1,12)+1</f>
        <v/>
      </c>
      <c r="AI5" s="7">
        <f>MOD(Inputs!$D$8-1+AI3-1,12)+1</f>
        <v/>
      </c>
      <c r="AJ5" s="7">
        <f>MOD(Inputs!$D$8-1+AJ3-1,12)+1</f>
        <v/>
      </c>
      <c r="AK5" s="7">
        <f>MOD(Inputs!$D$8-1+AK3-1,12)+1</f>
        <v/>
      </c>
      <c r="AL5" s="7">
        <f>MOD(Inputs!$D$8-1+AL3-1,12)+1</f>
        <v/>
      </c>
      <c r="AM5" s="7">
        <f>MOD(Inputs!$D$8-1+AM3-1,12)+1</f>
        <v/>
      </c>
      <c r="AN5" s="7">
        <f>MOD(Inputs!$D$8-1+AN3-1,12)+1</f>
        <v/>
      </c>
      <c r="AO5" s="7">
        <f>MOD(Inputs!$D$8-1+AO3-1,12)+1</f>
        <v/>
      </c>
      <c r="AP5" s="7">
        <f>MOD(Inputs!$D$8-1+AP3-1,12)+1</f>
        <v/>
      </c>
      <c r="AQ5" s="7">
        <f>MOD(Inputs!$D$8-1+AQ3-1,12)+1</f>
        <v/>
      </c>
      <c r="AR5" s="7">
        <f>MOD(Inputs!$D$8-1+AR3-1,12)+1</f>
        <v/>
      </c>
      <c r="AS5" s="7">
        <f>MOD(Inputs!$D$8-1+AS3-1,12)+1</f>
        <v/>
      </c>
      <c r="AT5" s="7">
        <f>MOD(Inputs!$D$8-1+AT3-1,12)+1</f>
        <v/>
      </c>
      <c r="AU5" s="7">
        <f>MOD(Inputs!$D$8-1+AU3-1,12)+1</f>
        <v/>
      </c>
      <c r="AV5" s="7">
        <f>MOD(Inputs!$D$8-1+AV3-1,12)+1</f>
        <v/>
      </c>
      <c r="AW5" s="7">
        <f>MOD(Inputs!$D$8-1+AW3-1,12)+1</f>
        <v/>
      </c>
      <c r="AX5" s="7">
        <f>MOD(Inputs!$D$8-1+AX3-1,12)+1</f>
        <v/>
      </c>
      <c r="AY5" s="7">
        <f>MOD(Inputs!$D$8-1+AY3-1,12)+1</f>
        <v/>
      </c>
      <c r="AZ5" s="7">
        <f>MOD(Inputs!$D$8-1+AZ3-1,12)+1</f>
        <v/>
      </c>
      <c r="BA5" s="7">
        <f>MOD(Inputs!$D$8-1+BA3-1,12)+1</f>
        <v/>
      </c>
      <c r="BB5" s="7">
        <f>MOD(Inputs!$D$8-1+BB3-1,12)+1</f>
        <v/>
      </c>
      <c r="BC5" s="7">
        <f>MOD(Inputs!$D$8-1+BC3-1,12)+1</f>
        <v/>
      </c>
      <c r="BD5" s="7">
        <f>MOD(Inputs!$D$8-1+BD3-1,12)+1</f>
        <v/>
      </c>
      <c r="BE5" s="7">
        <f>MOD(Inputs!$D$8-1+BE3-1,12)+1</f>
        <v/>
      </c>
      <c r="BF5" s="7">
        <f>MOD(Inputs!$D$8-1+BF3-1,12)+1</f>
        <v/>
      </c>
      <c r="BG5" s="7">
        <f>MOD(Inputs!$D$8-1+BG3-1,12)+1</f>
        <v/>
      </c>
      <c r="BH5" s="7">
        <f>MOD(Inputs!$D$8-1+BH3-1,12)+1</f>
        <v/>
      </c>
      <c r="BI5" s="7">
        <f>MOD(Inputs!$D$8-1+BI3-1,12)+1</f>
        <v/>
      </c>
      <c r="BJ5" s="7">
        <f>MOD(Inputs!$D$8-1+BJ3-1,12)+1</f>
        <v/>
      </c>
    </row>
    <row r="6">
      <c r="A6" t="inlineStr">
        <is>
          <t>Trading days</t>
        </is>
      </c>
      <c r="C6" s="24">
        <f>CHOOSE(C5,31,28,31,30,31,30,31,31,30,31,30,31)*Inputs!$D$9/365</f>
        <v/>
      </c>
      <c r="D6" s="24">
        <f>CHOOSE(D5,31,28,31,30,31,30,31,31,30,31,30,31)*Inputs!$D$9/365</f>
        <v/>
      </c>
      <c r="E6" s="24">
        <f>CHOOSE(E5,31,28,31,30,31,30,31,31,30,31,30,31)*Inputs!$D$9/365</f>
        <v/>
      </c>
      <c r="F6" s="24">
        <f>CHOOSE(F5,31,28,31,30,31,30,31,31,30,31,30,31)*Inputs!$D$9/365</f>
        <v/>
      </c>
      <c r="G6" s="24">
        <f>CHOOSE(G5,31,28,31,30,31,30,31,31,30,31,30,31)*Inputs!$D$9/365</f>
        <v/>
      </c>
      <c r="H6" s="24">
        <f>CHOOSE(H5,31,28,31,30,31,30,31,31,30,31,30,31)*Inputs!$D$9/365</f>
        <v/>
      </c>
      <c r="I6" s="24">
        <f>CHOOSE(I5,31,28,31,30,31,30,31,31,30,31,30,31)*Inputs!$D$9/365</f>
        <v/>
      </c>
      <c r="J6" s="24">
        <f>CHOOSE(J5,31,28,31,30,31,30,31,31,30,31,30,31)*Inputs!$D$9/365</f>
        <v/>
      </c>
      <c r="K6" s="24">
        <f>CHOOSE(K5,31,28,31,30,31,30,31,31,30,31,30,31)*Inputs!$D$9/365</f>
        <v/>
      </c>
      <c r="L6" s="24">
        <f>CHOOSE(L5,31,28,31,30,31,30,31,31,30,31,30,31)*Inputs!$D$9/365</f>
        <v/>
      </c>
      <c r="M6" s="24">
        <f>CHOOSE(M5,31,28,31,30,31,30,31,31,30,31,30,31)*Inputs!$D$9/365</f>
        <v/>
      </c>
      <c r="N6" s="24">
        <f>CHOOSE(N5,31,28,31,30,31,30,31,31,30,31,30,31)*Inputs!$D$9/365</f>
        <v/>
      </c>
      <c r="O6" s="24">
        <f>CHOOSE(O5,31,28,31,30,31,30,31,31,30,31,30,31)*Inputs!$D$9/365</f>
        <v/>
      </c>
      <c r="P6" s="24">
        <f>CHOOSE(P5,31,28,31,30,31,30,31,31,30,31,30,31)*Inputs!$D$9/365</f>
        <v/>
      </c>
      <c r="Q6" s="24">
        <f>CHOOSE(Q5,31,28,31,30,31,30,31,31,30,31,30,31)*Inputs!$D$9/365</f>
        <v/>
      </c>
      <c r="R6" s="24">
        <f>CHOOSE(R5,31,28,31,30,31,30,31,31,30,31,30,31)*Inputs!$D$9/365</f>
        <v/>
      </c>
      <c r="S6" s="24">
        <f>CHOOSE(S5,31,28,31,30,31,30,31,31,30,31,30,31)*Inputs!$D$9/365</f>
        <v/>
      </c>
      <c r="T6" s="24">
        <f>CHOOSE(T5,31,28,31,30,31,30,31,31,30,31,30,31)*Inputs!$D$9/365</f>
        <v/>
      </c>
      <c r="U6" s="24">
        <f>CHOOSE(U5,31,28,31,30,31,30,31,31,30,31,30,31)*Inputs!$D$9/365</f>
        <v/>
      </c>
      <c r="V6" s="24">
        <f>CHOOSE(V5,31,28,31,30,31,30,31,31,30,31,30,31)*Inputs!$D$9/365</f>
        <v/>
      </c>
      <c r="W6" s="24">
        <f>CHOOSE(W5,31,28,31,30,31,30,31,31,30,31,30,31)*Inputs!$D$9/365</f>
        <v/>
      </c>
      <c r="X6" s="24">
        <f>CHOOSE(X5,31,28,31,30,31,30,31,31,30,31,30,31)*Inputs!$D$9/365</f>
        <v/>
      </c>
      <c r="Y6" s="24">
        <f>CHOOSE(Y5,31,28,31,30,31,30,31,31,30,31,30,31)*Inputs!$D$9/365</f>
        <v/>
      </c>
      <c r="Z6" s="24">
        <f>CHOOSE(Z5,31,28,31,30,31,30,31,31,30,31,30,31)*Inputs!$D$9/365</f>
        <v/>
      </c>
      <c r="AA6" s="24">
        <f>CHOOSE(AA5,31,28,31,30,31,30,31,31,30,31,30,31)*Inputs!$D$9/365</f>
        <v/>
      </c>
      <c r="AB6" s="24">
        <f>CHOOSE(AB5,31,28,31,30,31,30,31,31,30,31,30,31)*Inputs!$D$9/365</f>
        <v/>
      </c>
      <c r="AC6" s="24">
        <f>CHOOSE(AC5,31,28,31,30,31,30,31,31,30,31,30,31)*Inputs!$D$9/365</f>
        <v/>
      </c>
      <c r="AD6" s="24">
        <f>CHOOSE(AD5,31,28,31,30,31,30,31,31,30,31,30,31)*Inputs!$D$9/365</f>
        <v/>
      </c>
      <c r="AE6" s="24">
        <f>CHOOSE(AE5,31,28,31,30,31,30,31,31,30,31,30,31)*Inputs!$D$9/365</f>
        <v/>
      </c>
      <c r="AF6" s="24">
        <f>CHOOSE(AF5,31,28,31,30,31,30,31,31,30,31,30,31)*Inputs!$D$9/365</f>
        <v/>
      </c>
      <c r="AG6" s="24">
        <f>CHOOSE(AG5,31,28,31,30,31,30,31,31,30,31,30,31)*Inputs!$D$9/365</f>
        <v/>
      </c>
      <c r="AH6" s="24">
        <f>CHOOSE(AH5,31,28,31,30,31,30,31,31,30,31,30,31)*Inputs!$D$9/365</f>
        <v/>
      </c>
      <c r="AI6" s="24">
        <f>CHOOSE(AI5,31,28,31,30,31,30,31,31,30,31,30,31)*Inputs!$D$9/365</f>
        <v/>
      </c>
      <c r="AJ6" s="24">
        <f>CHOOSE(AJ5,31,28,31,30,31,30,31,31,30,31,30,31)*Inputs!$D$9/365</f>
        <v/>
      </c>
      <c r="AK6" s="24">
        <f>CHOOSE(AK5,31,28,31,30,31,30,31,31,30,31,30,31)*Inputs!$D$9/365</f>
        <v/>
      </c>
      <c r="AL6" s="24">
        <f>CHOOSE(AL5,31,28,31,30,31,30,31,31,30,31,30,31)*Inputs!$D$9/365</f>
        <v/>
      </c>
      <c r="AM6" s="24">
        <f>CHOOSE(AM5,31,28,31,30,31,30,31,31,30,31,30,31)*Inputs!$D$9/365</f>
        <v/>
      </c>
      <c r="AN6" s="24">
        <f>CHOOSE(AN5,31,28,31,30,31,30,31,31,30,31,30,31)*Inputs!$D$9/365</f>
        <v/>
      </c>
      <c r="AO6" s="24">
        <f>CHOOSE(AO5,31,28,31,30,31,30,31,31,30,31,30,31)*Inputs!$D$9/365</f>
        <v/>
      </c>
      <c r="AP6" s="24">
        <f>CHOOSE(AP5,31,28,31,30,31,30,31,31,30,31,30,31)*Inputs!$D$9/365</f>
        <v/>
      </c>
      <c r="AQ6" s="24">
        <f>CHOOSE(AQ5,31,28,31,30,31,30,31,31,30,31,30,31)*Inputs!$D$9/365</f>
        <v/>
      </c>
      <c r="AR6" s="24">
        <f>CHOOSE(AR5,31,28,31,30,31,30,31,31,30,31,30,31)*Inputs!$D$9/365</f>
        <v/>
      </c>
      <c r="AS6" s="24">
        <f>CHOOSE(AS5,31,28,31,30,31,30,31,31,30,31,30,31)*Inputs!$D$9/365</f>
        <v/>
      </c>
      <c r="AT6" s="24">
        <f>CHOOSE(AT5,31,28,31,30,31,30,31,31,30,31,30,31)*Inputs!$D$9/365</f>
        <v/>
      </c>
      <c r="AU6" s="24">
        <f>CHOOSE(AU5,31,28,31,30,31,30,31,31,30,31,30,31)*Inputs!$D$9/365</f>
        <v/>
      </c>
      <c r="AV6" s="24">
        <f>CHOOSE(AV5,31,28,31,30,31,30,31,31,30,31,30,31)*Inputs!$D$9/365</f>
        <v/>
      </c>
      <c r="AW6" s="24">
        <f>CHOOSE(AW5,31,28,31,30,31,30,31,31,30,31,30,31)*Inputs!$D$9/365</f>
        <v/>
      </c>
      <c r="AX6" s="24">
        <f>CHOOSE(AX5,31,28,31,30,31,30,31,31,30,31,30,31)*Inputs!$D$9/365</f>
        <v/>
      </c>
      <c r="AY6" s="24">
        <f>CHOOSE(AY5,31,28,31,30,31,30,31,31,30,31,30,31)*Inputs!$D$9/365</f>
        <v/>
      </c>
      <c r="AZ6" s="24">
        <f>CHOOSE(AZ5,31,28,31,30,31,30,31,31,30,31,30,31)*Inputs!$D$9/365</f>
        <v/>
      </c>
      <c r="BA6" s="24">
        <f>CHOOSE(BA5,31,28,31,30,31,30,31,31,30,31,30,31)*Inputs!$D$9/365</f>
        <v/>
      </c>
      <c r="BB6" s="24">
        <f>CHOOSE(BB5,31,28,31,30,31,30,31,31,30,31,30,31)*Inputs!$D$9/365</f>
        <v/>
      </c>
      <c r="BC6" s="24">
        <f>CHOOSE(BC5,31,28,31,30,31,30,31,31,30,31,30,31)*Inputs!$D$9/365</f>
        <v/>
      </c>
      <c r="BD6" s="24">
        <f>CHOOSE(BD5,31,28,31,30,31,30,31,31,30,31,30,31)*Inputs!$D$9/365</f>
        <v/>
      </c>
      <c r="BE6" s="24">
        <f>CHOOSE(BE5,31,28,31,30,31,30,31,31,30,31,30,31)*Inputs!$D$9/365</f>
        <v/>
      </c>
      <c r="BF6" s="24">
        <f>CHOOSE(BF5,31,28,31,30,31,30,31,31,30,31,30,31)*Inputs!$D$9/365</f>
        <v/>
      </c>
      <c r="BG6" s="24">
        <f>CHOOSE(BG5,31,28,31,30,31,30,31,31,30,31,30,31)*Inputs!$D$9/365</f>
        <v/>
      </c>
      <c r="BH6" s="24">
        <f>CHOOSE(BH5,31,28,31,30,31,30,31,31,30,31,30,31)*Inputs!$D$9/365</f>
        <v/>
      </c>
      <c r="BI6" s="24">
        <f>CHOOSE(BI5,31,28,31,30,31,30,31,31,30,31,30,31)*Inputs!$D$9/365</f>
        <v/>
      </c>
      <c r="BJ6" s="24">
        <f>CHOOSE(BJ5,31,28,31,30,31,30,31,31,30,31,30,31)*Inputs!$D$9/365</f>
        <v/>
      </c>
    </row>
    <row r="7">
      <c r="A7" t="inlineStr">
        <is>
          <t>Seasonality index</t>
        </is>
      </c>
      <c r="C7" s="24">
        <f>INDEX(Inputs!$D$27:$D$38,C5)</f>
        <v/>
      </c>
      <c r="D7" s="24">
        <f>INDEX(Inputs!$D$27:$D$38,D5)</f>
        <v/>
      </c>
      <c r="E7" s="24">
        <f>INDEX(Inputs!$D$27:$D$38,E5)</f>
        <v/>
      </c>
      <c r="F7" s="24">
        <f>INDEX(Inputs!$D$27:$D$38,F5)</f>
        <v/>
      </c>
      <c r="G7" s="24">
        <f>INDEX(Inputs!$D$27:$D$38,G5)</f>
        <v/>
      </c>
      <c r="H7" s="24">
        <f>INDEX(Inputs!$D$27:$D$38,H5)</f>
        <v/>
      </c>
      <c r="I7" s="24">
        <f>INDEX(Inputs!$D$27:$D$38,I5)</f>
        <v/>
      </c>
      <c r="J7" s="24">
        <f>INDEX(Inputs!$D$27:$D$38,J5)</f>
        <v/>
      </c>
      <c r="K7" s="24">
        <f>INDEX(Inputs!$D$27:$D$38,K5)</f>
        <v/>
      </c>
      <c r="L7" s="24">
        <f>INDEX(Inputs!$D$27:$D$38,L5)</f>
        <v/>
      </c>
      <c r="M7" s="24">
        <f>INDEX(Inputs!$D$27:$D$38,M5)</f>
        <v/>
      </c>
      <c r="N7" s="24">
        <f>INDEX(Inputs!$D$27:$D$38,N5)</f>
        <v/>
      </c>
      <c r="O7" s="24">
        <f>INDEX(Inputs!$D$27:$D$38,O5)</f>
        <v/>
      </c>
      <c r="P7" s="24">
        <f>INDEX(Inputs!$D$27:$D$38,P5)</f>
        <v/>
      </c>
      <c r="Q7" s="24">
        <f>INDEX(Inputs!$D$27:$D$38,Q5)</f>
        <v/>
      </c>
      <c r="R7" s="24">
        <f>INDEX(Inputs!$D$27:$D$38,R5)</f>
        <v/>
      </c>
      <c r="S7" s="24">
        <f>INDEX(Inputs!$D$27:$D$38,S5)</f>
        <v/>
      </c>
      <c r="T7" s="24">
        <f>INDEX(Inputs!$D$27:$D$38,T5)</f>
        <v/>
      </c>
      <c r="U7" s="24">
        <f>INDEX(Inputs!$D$27:$D$38,U5)</f>
        <v/>
      </c>
      <c r="V7" s="24">
        <f>INDEX(Inputs!$D$27:$D$38,V5)</f>
        <v/>
      </c>
      <c r="W7" s="24">
        <f>INDEX(Inputs!$D$27:$D$38,W5)</f>
        <v/>
      </c>
      <c r="X7" s="24">
        <f>INDEX(Inputs!$D$27:$D$38,X5)</f>
        <v/>
      </c>
      <c r="Y7" s="24">
        <f>INDEX(Inputs!$D$27:$D$38,Y5)</f>
        <v/>
      </c>
      <c r="Z7" s="24">
        <f>INDEX(Inputs!$D$27:$D$38,Z5)</f>
        <v/>
      </c>
      <c r="AA7" s="24">
        <f>INDEX(Inputs!$D$27:$D$38,AA5)</f>
        <v/>
      </c>
      <c r="AB7" s="24">
        <f>INDEX(Inputs!$D$27:$D$38,AB5)</f>
        <v/>
      </c>
      <c r="AC7" s="24">
        <f>INDEX(Inputs!$D$27:$D$38,AC5)</f>
        <v/>
      </c>
      <c r="AD7" s="24">
        <f>INDEX(Inputs!$D$27:$D$38,AD5)</f>
        <v/>
      </c>
      <c r="AE7" s="24">
        <f>INDEX(Inputs!$D$27:$D$38,AE5)</f>
        <v/>
      </c>
      <c r="AF7" s="24">
        <f>INDEX(Inputs!$D$27:$D$38,AF5)</f>
        <v/>
      </c>
      <c r="AG7" s="24">
        <f>INDEX(Inputs!$D$27:$D$38,AG5)</f>
        <v/>
      </c>
      <c r="AH7" s="24">
        <f>INDEX(Inputs!$D$27:$D$38,AH5)</f>
        <v/>
      </c>
      <c r="AI7" s="24">
        <f>INDEX(Inputs!$D$27:$D$38,AI5)</f>
        <v/>
      </c>
      <c r="AJ7" s="24">
        <f>INDEX(Inputs!$D$27:$D$38,AJ5)</f>
        <v/>
      </c>
      <c r="AK7" s="24">
        <f>INDEX(Inputs!$D$27:$D$38,AK5)</f>
        <v/>
      </c>
      <c r="AL7" s="24">
        <f>INDEX(Inputs!$D$27:$D$38,AL5)</f>
        <v/>
      </c>
      <c r="AM7" s="24">
        <f>INDEX(Inputs!$D$27:$D$38,AM5)</f>
        <v/>
      </c>
      <c r="AN7" s="24">
        <f>INDEX(Inputs!$D$27:$D$38,AN5)</f>
        <v/>
      </c>
      <c r="AO7" s="24">
        <f>INDEX(Inputs!$D$27:$D$38,AO5)</f>
        <v/>
      </c>
      <c r="AP7" s="24">
        <f>INDEX(Inputs!$D$27:$D$38,AP5)</f>
        <v/>
      </c>
      <c r="AQ7" s="24">
        <f>INDEX(Inputs!$D$27:$D$38,AQ5)</f>
        <v/>
      </c>
      <c r="AR7" s="24">
        <f>INDEX(Inputs!$D$27:$D$38,AR5)</f>
        <v/>
      </c>
      <c r="AS7" s="24">
        <f>INDEX(Inputs!$D$27:$D$38,AS5)</f>
        <v/>
      </c>
      <c r="AT7" s="24">
        <f>INDEX(Inputs!$D$27:$D$38,AT5)</f>
        <v/>
      </c>
      <c r="AU7" s="24">
        <f>INDEX(Inputs!$D$27:$D$38,AU5)</f>
        <v/>
      </c>
      <c r="AV7" s="24">
        <f>INDEX(Inputs!$D$27:$D$38,AV5)</f>
        <v/>
      </c>
      <c r="AW7" s="24">
        <f>INDEX(Inputs!$D$27:$D$38,AW5)</f>
        <v/>
      </c>
      <c r="AX7" s="24">
        <f>INDEX(Inputs!$D$27:$D$38,AX5)</f>
        <v/>
      </c>
      <c r="AY7" s="24">
        <f>INDEX(Inputs!$D$27:$D$38,AY5)</f>
        <v/>
      </c>
      <c r="AZ7" s="24">
        <f>INDEX(Inputs!$D$27:$D$38,AZ5)</f>
        <v/>
      </c>
      <c r="BA7" s="24">
        <f>INDEX(Inputs!$D$27:$D$38,BA5)</f>
        <v/>
      </c>
      <c r="BB7" s="24">
        <f>INDEX(Inputs!$D$27:$D$38,BB5)</f>
        <v/>
      </c>
      <c r="BC7" s="24">
        <f>INDEX(Inputs!$D$27:$D$38,BC5)</f>
        <v/>
      </c>
      <c r="BD7" s="24">
        <f>INDEX(Inputs!$D$27:$D$38,BD5)</f>
        <v/>
      </c>
      <c r="BE7" s="24">
        <f>INDEX(Inputs!$D$27:$D$38,BE5)</f>
        <v/>
      </c>
      <c r="BF7" s="24">
        <f>INDEX(Inputs!$D$27:$D$38,BF5)</f>
        <v/>
      </c>
      <c r="BG7" s="24">
        <f>INDEX(Inputs!$D$27:$D$38,BG5)</f>
        <v/>
      </c>
      <c r="BH7" s="24">
        <f>INDEX(Inputs!$D$27:$D$38,BH5)</f>
        <v/>
      </c>
      <c r="BI7" s="24">
        <f>INDEX(Inputs!$D$27:$D$38,BI5)</f>
        <v/>
      </c>
      <c r="BJ7" s="24">
        <f>INDEX(Inputs!$D$27:$D$38,BJ5)</f>
        <v/>
      </c>
    </row>
    <row r="8">
      <c r="A8" t="inlineStr">
        <is>
          <t>Passing traffic (veh/day)</t>
        </is>
      </c>
      <c r="C8" s="3">
        <f>Inputs!$D$17*(1+Inputs!$D$18)^(C4-1)*C7</f>
        <v/>
      </c>
      <c r="D8" s="3">
        <f>Inputs!$D$17*(1+Inputs!$D$18)^(D4-1)*D7</f>
        <v/>
      </c>
      <c r="E8" s="3">
        <f>Inputs!$D$17*(1+Inputs!$D$18)^(E4-1)*E7</f>
        <v/>
      </c>
      <c r="F8" s="3">
        <f>Inputs!$D$17*(1+Inputs!$D$18)^(F4-1)*F7</f>
        <v/>
      </c>
      <c r="G8" s="3">
        <f>Inputs!$D$17*(1+Inputs!$D$18)^(G4-1)*G7</f>
        <v/>
      </c>
      <c r="H8" s="3">
        <f>Inputs!$D$17*(1+Inputs!$D$18)^(H4-1)*H7</f>
        <v/>
      </c>
      <c r="I8" s="3">
        <f>Inputs!$D$17*(1+Inputs!$D$18)^(I4-1)*I7</f>
        <v/>
      </c>
      <c r="J8" s="3">
        <f>Inputs!$D$17*(1+Inputs!$D$18)^(J4-1)*J7</f>
        <v/>
      </c>
      <c r="K8" s="3">
        <f>Inputs!$D$17*(1+Inputs!$D$18)^(K4-1)*K7</f>
        <v/>
      </c>
      <c r="L8" s="3">
        <f>Inputs!$D$17*(1+Inputs!$D$18)^(L4-1)*L7</f>
        <v/>
      </c>
      <c r="M8" s="3">
        <f>Inputs!$D$17*(1+Inputs!$D$18)^(M4-1)*M7</f>
        <v/>
      </c>
      <c r="N8" s="3">
        <f>Inputs!$D$17*(1+Inputs!$D$18)^(N4-1)*N7</f>
        <v/>
      </c>
      <c r="O8" s="3">
        <f>Inputs!$D$17*(1+Inputs!$D$18)^(O4-1)*O7</f>
        <v/>
      </c>
      <c r="P8" s="3">
        <f>Inputs!$D$17*(1+Inputs!$D$18)^(P4-1)*P7</f>
        <v/>
      </c>
      <c r="Q8" s="3">
        <f>Inputs!$D$17*(1+Inputs!$D$18)^(Q4-1)*Q7</f>
        <v/>
      </c>
      <c r="R8" s="3">
        <f>Inputs!$D$17*(1+Inputs!$D$18)^(R4-1)*R7</f>
        <v/>
      </c>
      <c r="S8" s="3">
        <f>Inputs!$D$17*(1+Inputs!$D$18)^(S4-1)*S7</f>
        <v/>
      </c>
      <c r="T8" s="3">
        <f>Inputs!$D$17*(1+Inputs!$D$18)^(T4-1)*T7</f>
        <v/>
      </c>
      <c r="U8" s="3">
        <f>Inputs!$D$17*(1+Inputs!$D$18)^(U4-1)*U7</f>
        <v/>
      </c>
      <c r="V8" s="3">
        <f>Inputs!$D$17*(1+Inputs!$D$18)^(V4-1)*V7</f>
        <v/>
      </c>
      <c r="W8" s="3">
        <f>Inputs!$D$17*(1+Inputs!$D$18)^(W4-1)*W7</f>
        <v/>
      </c>
      <c r="X8" s="3">
        <f>Inputs!$D$17*(1+Inputs!$D$18)^(X4-1)*X7</f>
        <v/>
      </c>
      <c r="Y8" s="3">
        <f>Inputs!$D$17*(1+Inputs!$D$18)^(Y4-1)*Y7</f>
        <v/>
      </c>
      <c r="Z8" s="3">
        <f>Inputs!$D$17*(1+Inputs!$D$18)^(Z4-1)*Z7</f>
        <v/>
      </c>
      <c r="AA8" s="3">
        <f>Inputs!$D$17*(1+Inputs!$D$18)^(AA4-1)*AA7</f>
        <v/>
      </c>
      <c r="AB8" s="3">
        <f>Inputs!$D$17*(1+Inputs!$D$18)^(AB4-1)*AB7</f>
        <v/>
      </c>
      <c r="AC8" s="3">
        <f>Inputs!$D$17*(1+Inputs!$D$18)^(AC4-1)*AC7</f>
        <v/>
      </c>
      <c r="AD8" s="3">
        <f>Inputs!$D$17*(1+Inputs!$D$18)^(AD4-1)*AD7</f>
        <v/>
      </c>
      <c r="AE8" s="3">
        <f>Inputs!$D$17*(1+Inputs!$D$18)^(AE4-1)*AE7</f>
        <v/>
      </c>
      <c r="AF8" s="3">
        <f>Inputs!$D$17*(1+Inputs!$D$18)^(AF4-1)*AF7</f>
        <v/>
      </c>
      <c r="AG8" s="3">
        <f>Inputs!$D$17*(1+Inputs!$D$18)^(AG4-1)*AG7</f>
        <v/>
      </c>
      <c r="AH8" s="3">
        <f>Inputs!$D$17*(1+Inputs!$D$18)^(AH4-1)*AH7</f>
        <v/>
      </c>
      <c r="AI8" s="3">
        <f>Inputs!$D$17*(1+Inputs!$D$18)^(AI4-1)*AI7</f>
        <v/>
      </c>
      <c r="AJ8" s="3">
        <f>Inputs!$D$17*(1+Inputs!$D$18)^(AJ4-1)*AJ7</f>
        <v/>
      </c>
      <c r="AK8" s="3">
        <f>Inputs!$D$17*(1+Inputs!$D$18)^(AK4-1)*AK7</f>
        <v/>
      </c>
      <c r="AL8" s="3">
        <f>Inputs!$D$17*(1+Inputs!$D$18)^(AL4-1)*AL7</f>
        <v/>
      </c>
      <c r="AM8" s="3">
        <f>Inputs!$D$17*(1+Inputs!$D$18)^(AM4-1)*AM7</f>
        <v/>
      </c>
      <c r="AN8" s="3">
        <f>Inputs!$D$17*(1+Inputs!$D$18)^(AN4-1)*AN7</f>
        <v/>
      </c>
      <c r="AO8" s="3">
        <f>Inputs!$D$17*(1+Inputs!$D$18)^(AO4-1)*AO7</f>
        <v/>
      </c>
      <c r="AP8" s="3">
        <f>Inputs!$D$17*(1+Inputs!$D$18)^(AP4-1)*AP7</f>
        <v/>
      </c>
      <c r="AQ8" s="3">
        <f>Inputs!$D$17*(1+Inputs!$D$18)^(AQ4-1)*AQ7</f>
        <v/>
      </c>
      <c r="AR8" s="3">
        <f>Inputs!$D$17*(1+Inputs!$D$18)^(AR4-1)*AR7</f>
        <v/>
      </c>
      <c r="AS8" s="3">
        <f>Inputs!$D$17*(1+Inputs!$D$18)^(AS4-1)*AS7</f>
        <v/>
      </c>
      <c r="AT8" s="3">
        <f>Inputs!$D$17*(1+Inputs!$D$18)^(AT4-1)*AT7</f>
        <v/>
      </c>
      <c r="AU8" s="3">
        <f>Inputs!$D$17*(1+Inputs!$D$18)^(AU4-1)*AU7</f>
        <v/>
      </c>
      <c r="AV8" s="3">
        <f>Inputs!$D$17*(1+Inputs!$D$18)^(AV4-1)*AV7</f>
        <v/>
      </c>
      <c r="AW8" s="3">
        <f>Inputs!$D$17*(1+Inputs!$D$18)^(AW4-1)*AW7</f>
        <v/>
      </c>
      <c r="AX8" s="3">
        <f>Inputs!$D$17*(1+Inputs!$D$18)^(AX4-1)*AX7</f>
        <v/>
      </c>
      <c r="AY8" s="3">
        <f>Inputs!$D$17*(1+Inputs!$D$18)^(AY4-1)*AY7</f>
        <v/>
      </c>
      <c r="AZ8" s="3">
        <f>Inputs!$D$17*(1+Inputs!$D$18)^(AZ4-1)*AZ7</f>
        <v/>
      </c>
      <c r="BA8" s="3">
        <f>Inputs!$D$17*(1+Inputs!$D$18)^(BA4-1)*BA7</f>
        <v/>
      </c>
      <c r="BB8" s="3">
        <f>Inputs!$D$17*(1+Inputs!$D$18)^(BB4-1)*BB7</f>
        <v/>
      </c>
      <c r="BC8" s="3">
        <f>Inputs!$D$17*(1+Inputs!$D$18)^(BC4-1)*BC7</f>
        <v/>
      </c>
      <c r="BD8" s="3">
        <f>Inputs!$D$17*(1+Inputs!$D$18)^(BD4-1)*BD7</f>
        <v/>
      </c>
      <c r="BE8" s="3">
        <f>Inputs!$D$17*(1+Inputs!$D$18)^(BE4-1)*BE7</f>
        <v/>
      </c>
      <c r="BF8" s="3">
        <f>Inputs!$D$17*(1+Inputs!$D$18)^(BF4-1)*BF7</f>
        <v/>
      </c>
      <c r="BG8" s="3">
        <f>Inputs!$D$17*(1+Inputs!$D$18)^(BG4-1)*BG7</f>
        <v/>
      </c>
      <c r="BH8" s="3">
        <f>Inputs!$D$17*(1+Inputs!$D$18)^(BH4-1)*BH7</f>
        <v/>
      </c>
      <c r="BI8" s="3">
        <f>Inputs!$D$17*(1+Inputs!$D$18)^(BI4-1)*BI7</f>
        <v/>
      </c>
      <c r="BJ8" s="3">
        <f>Inputs!$D$17*(1+Inputs!$D$18)^(BJ4-1)*BJ7</f>
        <v/>
      </c>
    </row>
    <row r="9">
      <c r="A9" t="inlineStr">
        <is>
          <t>Ramp multiplier</t>
        </is>
      </c>
      <c r="C9" s="24">
        <f>IF(C3&lt;=12,INDEX(Inputs!$D$41:$D$52,C3),1)</f>
        <v/>
      </c>
      <c r="D9" s="24">
        <f>IF(D3&lt;=12,INDEX(Inputs!$D$41:$D$52,D3),1)</f>
        <v/>
      </c>
      <c r="E9" s="24">
        <f>IF(E3&lt;=12,INDEX(Inputs!$D$41:$D$52,E3),1)</f>
        <v/>
      </c>
      <c r="F9" s="24">
        <f>IF(F3&lt;=12,INDEX(Inputs!$D$41:$D$52,F3),1)</f>
        <v/>
      </c>
      <c r="G9" s="24">
        <f>IF(G3&lt;=12,INDEX(Inputs!$D$41:$D$52,G3),1)</f>
        <v/>
      </c>
      <c r="H9" s="24">
        <f>IF(H3&lt;=12,INDEX(Inputs!$D$41:$D$52,H3),1)</f>
        <v/>
      </c>
      <c r="I9" s="24">
        <f>IF(I3&lt;=12,INDEX(Inputs!$D$41:$D$52,I3),1)</f>
        <v/>
      </c>
      <c r="J9" s="24">
        <f>IF(J3&lt;=12,INDEX(Inputs!$D$41:$D$52,J3),1)</f>
        <v/>
      </c>
      <c r="K9" s="24">
        <f>IF(K3&lt;=12,INDEX(Inputs!$D$41:$D$52,K3),1)</f>
        <v/>
      </c>
      <c r="L9" s="24">
        <f>IF(L3&lt;=12,INDEX(Inputs!$D$41:$D$52,L3),1)</f>
        <v/>
      </c>
      <c r="M9" s="24">
        <f>IF(M3&lt;=12,INDEX(Inputs!$D$41:$D$52,M3),1)</f>
        <v/>
      </c>
      <c r="N9" s="24">
        <f>IF(N3&lt;=12,INDEX(Inputs!$D$41:$D$52,N3),1)</f>
        <v/>
      </c>
      <c r="O9" s="24">
        <f>IF(O3&lt;=12,INDEX(Inputs!$D$41:$D$52,O3),1)</f>
        <v/>
      </c>
      <c r="P9" s="24">
        <f>IF(P3&lt;=12,INDEX(Inputs!$D$41:$D$52,P3),1)</f>
        <v/>
      </c>
      <c r="Q9" s="24">
        <f>IF(Q3&lt;=12,INDEX(Inputs!$D$41:$D$52,Q3),1)</f>
        <v/>
      </c>
      <c r="R9" s="24">
        <f>IF(R3&lt;=12,INDEX(Inputs!$D$41:$D$52,R3),1)</f>
        <v/>
      </c>
      <c r="S9" s="24">
        <f>IF(S3&lt;=12,INDEX(Inputs!$D$41:$D$52,S3),1)</f>
        <v/>
      </c>
      <c r="T9" s="24">
        <f>IF(T3&lt;=12,INDEX(Inputs!$D$41:$D$52,T3),1)</f>
        <v/>
      </c>
      <c r="U9" s="24">
        <f>IF(U3&lt;=12,INDEX(Inputs!$D$41:$D$52,U3),1)</f>
        <v/>
      </c>
      <c r="V9" s="24">
        <f>IF(V3&lt;=12,INDEX(Inputs!$D$41:$D$52,V3),1)</f>
        <v/>
      </c>
      <c r="W9" s="24">
        <f>IF(W3&lt;=12,INDEX(Inputs!$D$41:$D$52,W3),1)</f>
        <v/>
      </c>
      <c r="X9" s="24">
        <f>IF(X3&lt;=12,INDEX(Inputs!$D$41:$D$52,X3),1)</f>
        <v/>
      </c>
      <c r="Y9" s="24">
        <f>IF(Y3&lt;=12,INDEX(Inputs!$D$41:$D$52,Y3),1)</f>
        <v/>
      </c>
      <c r="Z9" s="24">
        <f>IF(Z3&lt;=12,INDEX(Inputs!$D$41:$D$52,Z3),1)</f>
        <v/>
      </c>
      <c r="AA9" s="24">
        <f>IF(AA3&lt;=12,INDEX(Inputs!$D$41:$D$52,AA3),1)</f>
        <v/>
      </c>
      <c r="AB9" s="24">
        <f>IF(AB3&lt;=12,INDEX(Inputs!$D$41:$D$52,AB3),1)</f>
        <v/>
      </c>
      <c r="AC9" s="24">
        <f>IF(AC3&lt;=12,INDEX(Inputs!$D$41:$D$52,AC3),1)</f>
        <v/>
      </c>
      <c r="AD9" s="24">
        <f>IF(AD3&lt;=12,INDEX(Inputs!$D$41:$D$52,AD3),1)</f>
        <v/>
      </c>
      <c r="AE9" s="24">
        <f>IF(AE3&lt;=12,INDEX(Inputs!$D$41:$D$52,AE3),1)</f>
        <v/>
      </c>
      <c r="AF9" s="24">
        <f>IF(AF3&lt;=12,INDEX(Inputs!$D$41:$D$52,AF3),1)</f>
        <v/>
      </c>
      <c r="AG9" s="24">
        <f>IF(AG3&lt;=12,INDEX(Inputs!$D$41:$D$52,AG3),1)</f>
        <v/>
      </c>
      <c r="AH9" s="24">
        <f>IF(AH3&lt;=12,INDEX(Inputs!$D$41:$D$52,AH3),1)</f>
        <v/>
      </c>
      <c r="AI9" s="24">
        <f>IF(AI3&lt;=12,INDEX(Inputs!$D$41:$D$52,AI3),1)</f>
        <v/>
      </c>
      <c r="AJ9" s="24">
        <f>IF(AJ3&lt;=12,INDEX(Inputs!$D$41:$D$52,AJ3),1)</f>
        <v/>
      </c>
      <c r="AK9" s="24">
        <f>IF(AK3&lt;=12,INDEX(Inputs!$D$41:$D$52,AK3),1)</f>
        <v/>
      </c>
      <c r="AL9" s="24">
        <f>IF(AL3&lt;=12,INDEX(Inputs!$D$41:$D$52,AL3),1)</f>
        <v/>
      </c>
      <c r="AM9" s="24">
        <f>IF(AM3&lt;=12,INDEX(Inputs!$D$41:$D$52,AM3),1)</f>
        <v/>
      </c>
      <c r="AN9" s="24">
        <f>IF(AN3&lt;=12,INDEX(Inputs!$D$41:$D$52,AN3),1)</f>
        <v/>
      </c>
      <c r="AO9" s="24">
        <f>IF(AO3&lt;=12,INDEX(Inputs!$D$41:$D$52,AO3),1)</f>
        <v/>
      </c>
      <c r="AP9" s="24">
        <f>IF(AP3&lt;=12,INDEX(Inputs!$D$41:$D$52,AP3),1)</f>
        <v/>
      </c>
      <c r="AQ9" s="24">
        <f>IF(AQ3&lt;=12,INDEX(Inputs!$D$41:$D$52,AQ3),1)</f>
        <v/>
      </c>
      <c r="AR9" s="24">
        <f>IF(AR3&lt;=12,INDEX(Inputs!$D$41:$D$52,AR3),1)</f>
        <v/>
      </c>
      <c r="AS9" s="24">
        <f>IF(AS3&lt;=12,INDEX(Inputs!$D$41:$D$52,AS3),1)</f>
        <v/>
      </c>
      <c r="AT9" s="24">
        <f>IF(AT3&lt;=12,INDEX(Inputs!$D$41:$D$52,AT3),1)</f>
        <v/>
      </c>
      <c r="AU9" s="24">
        <f>IF(AU3&lt;=12,INDEX(Inputs!$D$41:$D$52,AU3),1)</f>
        <v/>
      </c>
      <c r="AV9" s="24">
        <f>IF(AV3&lt;=12,INDEX(Inputs!$D$41:$D$52,AV3),1)</f>
        <v/>
      </c>
      <c r="AW9" s="24">
        <f>IF(AW3&lt;=12,INDEX(Inputs!$D$41:$D$52,AW3),1)</f>
        <v/>
      </c>
      <c r="AX9" s="24">
        <f>IF(AX3&lt;=12,INDEX(Inputs!$D$41:$D$52,AX3),1)</f>
        <v/>
      </c>
      <c r="AY9" s="24">
        <f>IF(AY3&lt;=12,INDEX(Inputs!$D$41:$D$52,AY3),1)</f>
        <v/>
      </c>
      <c r="AZ9" s="24">
        <f>IF(AZ3&lt;=12,INDEX(Inputs!$D$41:$D$52,AZ3),1)</f>
        <v/>
      </c>
      <c r="BA9" s="24">
        <f>IF(BA3&lt;=12,INDEX(Inputs!$D$41:$D$52,BA3),1)</f>
        <v/>
      </c>
      <c r="BB9" s="24">
        <f>IF(BB3&lt;=12,INDEX(Inputs!$D$41:$D$52,BB3),1)</f>
        <v/>
      </c>
      <c r="BC9" s="24">
        <f>IF(BC3&lt;=12,INDEX(Inputs!$D$41:$D$52,BC3),1)</f>
        <v/>
      </c>
      <c r="BD9" s="24">
        <f>IF(BD3&lt;=12,INDEX(Inputs!$D$41:$D$52,BD3),1)</f>
        <v/>
      </c>
      <c r="BE9" s="24">
        <f>IF(BE3&lt;=12,INDEX(Inputs!$D$41:$D$52,BE3),1)</f>
        <v/>
      </c>
      <c r="BF9" s="24">
        <f>IF(BF3&lt;=12,INDEX(Inputs!$D$41:$D$52,BF3),1)</f>
        <v/>
      </c>
      <c r="BG9" s="24">
        <f>IF(BG3&lt;=12,INDEX(Inputs!$D$41:$D$52,BG3),1)</f>
        <v/>
      </c>
      <c r="BH9" s="24">
        <f>IF(BH3&lt;=12,INDEX(Inputs!$D$41:$D$52,BH3),1)</f>
        <v/>
      </c>
      <c r="BI9" s="24">
        <f>IF(BI3&lt;=12,INDEX(Inputs!$D$41:$D$52,BI3),1)</f>
        <v/>
      </c>
      <c r="BJ9" s="24">
        <f>IF(BJ3&lt;=12,INDEX(Inputs!$D$41:$D$52,BJ3),1)</f>
        <v/>
      </c>
    </row>
    <row r="10">
      <c r="A10" t="inlineStr">
        <is>
          <t>Capture rate</t>
        </is>
      </c>
      <c r="C10" s="25">
        <f>Inputs!$D$20*(1+Inputs!$D$21)^(C4-1)*C9</f>
        <v/>
      </c>
      <c r="D10" s="25">
        <f>Inputs!$D$20*(1+Inputs!$D$21)^(D4-1)*D9</f>
        <v/>
      </c>
      <c r="E10" s="25">
        <f>Inputs!$D$20*(1+Inputs!$D$21)^(E4-1)*E9</f>
        <v/>
      </c>
      <c r="F10" s="25">
        <f>Inputs!$D$20*(1+Inputs!$D$21)^(F4-1)*F9</f>
        <v/>
      </c>
      <c r="G10" s="25">
        <f>Inputs!$D$20*(1+Inputs!$D$21)^(G4-1)*G9</f>
        <v/>
      </c>
      <c r="H10" s="25">
        <f>Inputs!$D$20*(1+Inputs!$D$21)^(H4-1)*H9</f>
        <v/>
      </c>
      <c r="I10" s="25">
        <f>Inputs!$D$20*(1+Inputs!$D$21)^(I4-1)*I9</f>
        <v/>
      </c>
      <c r="J10" s="25">
        <f>Inputs!$D$20*(1+Inputs!$D$21)^(J4-1)*J9</f>
        <v/>
      </c>
      <c r="K10" s="25">
        <f>Inputs!$D$20*(1+Inputs!$D$21)^(K4-1)*K9</f>
        <v/>
      </c>
      <c r="L10" s="25">
        <f>Inputs!$D$20*(1+Inputs!$D$21)^(L4-1)*L9</f>
        <v/>
      </c>
      <c r="M10" s="25">
        <f>Inputs!$D$20*(1+Inputs!$D$21)^(M4-1)*M9</f>
        <v/>
      </c>
      <c r="N10" s="25">
        <f>Inputs!$D$20*(1+Inputs!$D$21)^(N4-1)*N9</f>
        <v/>
      </c>
      <c r="O10" s="25">
        <f>Inputs!$D$20*(1+Inputs!$D$21)^(O4-1)*O9</f>
        <v/>
      </c>
      <c r="P10" s="25">
        <f>Inputs!$D$20*(1+Inputs!$D$21)^(P4-1)*P9</f>
        <v/>
      </c>
      <c r="Q10" s="25">
        <f>Inputs!$D$20*(1+Inputs!$D$21)^(Q4-1)*Q9</f>
        <v/>
      </c>
      <c r="R10" s="25">
        <f>Inputs!$D$20*(1+Inputs!$D$21)^(R4-1)*R9</f>
        <v/>
      </c>
      <c r="S10" s="25">
        <f>Inputs!$D$20*(1+Inputs!$D$21)^(S4-1)*S9</f>
        <v/>
      </c>
      <c r="T10" s="25">
        <f>Inputs!$D$20*(1+Inputs!$D$21)^(T4-1)*T9</f>
        <v/>
      </c>
      <c r="U10" s="25">
        <f>Inputs!$D$20*(1+Inputs!$D$21)^(U4-1)*U9</f>
        <v/>
      </c>
      <c r="V10" s="25">
        <f>Inputs!$D$20*(1+Inputs!$D$21)^(V4-1)*V9</f>
        <v/>
      </c>
      <c r="W10" s="25">
        <f>Inputs!$D$20*(1+Inputs!$D$21)^(W4-1)*W9</f>
        <v/>
      </c>
      <c r="X10" s="25">
        <f>Inputs!$D$20*(1+Inputs!$D$21)^(X4-1)*X9</f>
        <v/>
      </c>
      <c r="Y10" s="25">
        <f>Inputs!$D$20*(1+Inputs!$D$21)^(Y4-1)*Y9</f>
        <v/>
      </c>
      <c r="Z10" s="25">
        <f>Inputs!$D$20*(1+Inputs!$D$21)^(Z4-1)*Z9</f>
        <v/>
      </c>
      <c r="AA10" s="25">
        <f>Inputs!$D$20*(1+Inputs!$D$21)^(AA4-1)*AA9</f>
        <v/>
      </c>
      <c r="AB10" s="25">
        <f>Inputs!$D$20*(1+Inputs!$D$21)^(AB4-1)*AB9</f>
        <v/>
      </c>
      <c r="AC10" s="25">
        <f>Inputs!$D$20*(1+Inputs!$D$21)^(AC4-1)*AC9</f>
        <v/>
      </c>
      <c r="AD10" s="25">
        <f>Inputs!$D$20*(1+Inputs!$D$21)^(AD4-1)*AD9</f>
        <v/>
      </c>
      <c r="AE10" s="25">
        <f>Inputs!$D$20*(1+Inputs!$D$21)^(AE4-1)*AE9</f>
        <v/>
      </c>
      <c r="AF10" s="25">
        <f>Inputs!$D$20*(1+Inputs!$D$21)^(AF4-1)*AF9</f>
        <v/>
      </c>
      <c r="AG10" s="25">
        <f>Inputs!$D$20*(1+Inputs!$D$21)^(AG4-1)*AG9</f>
        <v/>
      </c>
      <c r="AH10" s="25">
        <f>Inputs!$D$20*(1+Inputs!$D$21)^(AH4-1)*AH9</f>
        <v/>
      </c>
      <c r="AI10" s="25">
        <f>Inputs!$D$20*(1+Inputs!$D$21)^(AI4-1)*AI9</f>
        <v/>
      </c>
      <c r="AJ10" s="25">
        <f>Inputs!$D$20*(1+Inputs!$D$21)^(AJ4-1)*AJ9</f>
        <v/>
      </c>
      <c r="AK10" s="25">
        <f>Inputs!$D$20*(1+Inputs!$D$21)^(AK4-1)*AK9</f>
        <v/>
      </c>
      <c r="AL10" s="25">
        <f>Inputs!$D$20*(1+Inputs!$D$21)^(AL4-1)*AL9</f>
        <v/>
      </c>
      <c r="AM10" s="25">
        <f>Inputs!$D$20*(1+Inputs!$D$21)^(AM4-1)*AM9</f>
        <v/>
      </c>
      <c r="AN10" s="25">
        <f>Inputs!$D$20*(1+Inputs!$D$21)^(AN4-1)*AN9</f>
        <v/>
      </c>
      <c r="AO10" s="25">
        <f>Inputs!$D$20*(1+Inputs!$D$21)^(AO4-1)*AO9</f>
        <v/>
      </c>
      <c r="AP10" s="25">
        <f>Inputs!$D$20*(1+Inputs!$D$21)^(AP4-1)*AP9</f>
        <v/>
      </c>
      <c r="AQ10" s="25">
        <f>Inputs!$D$20*(1+Inputs!$D$21)^(AQ4-1)*AQ9</f>
        <v/>
      </c>
      <c r="AR10" s="25">
        <f>Inputs!$D$20*(1+Inputs!$D$21)^(AR4-1)*AR9</f>
        <v/>
      </c>
      <c r="AS10" s="25">
        <f>Inputs!$D$20*(1+Inputs!$D$21)^(AS4-1)*AS9</f>
        <v/>
      </c>
      <c r="AT10" s="25">
        <f>Inputs!$D$20*(1+Inputs!$D$21)^(AT4-1)*AT9</f>
        <v/>
      </c>
      <c r="AU10" s="25">
        <f>Inputs!$D$20*(1+Inputs!$D$21)^(AU4-1)*AU9</f>
        <v/>
      </c>
      <c r="AV10" s="25">
        <f>Inputs!$D$20*(1+Inputs!$D$21)^(AV4-1)*AV9</f>
        <v/>
      </c>
      <c r="AW10" s="25">
        <f>Inputs!$D$20*(1+Inputs!$D$21)^(AW4-1)*AW9</f>
        <v/>
      </c>
      <c r="AX10" s="25">
        <f>Inputs!$D$20*(1+Inputs!$D$21)^(AX4-1)*AX9</f>
        <v/>
      </c>
      <c r="AY10" s="25">
        <f>Inputs!$D$20*(1+Inputs!$D$21)^(AY4-1)*AY9</f>
        <v/>
      </c>
      <c r="AZ10" s="25">
        <f>Inputs!$D$20*(1+Inputs!$D$21)^(AZ4-1)*AZ9</f>
        <v/>
      </c>
      <c r="BA10" s="25">
        <f>Inputs!$D$20*(1+Inputs!$D$21)^(BA4-1)*BA9</f>
        <v/>
      </c>
      <c r="BB10" s="25">
        <f>Inputs!$D$20*(1+Inputs!$D$21)^(BB4-1)*BB9</f>
        <v/>
      </c>
      <c r="BC10" s="25">
        <f>Inputs!$D$20*(1+Inputs!$D$21)^(BC4-1)*BC9</f>
        <v/>
      </c>
      <c r="BD10" s="25">
        <f>Inputs!$D$20*(1+Inputs!$D$21)^(BD4-1)*BD9</f>
        <v/>
      </c>
      <c r="BE10" s="25">
        <f>Inputs!$D$20*(1+Inputs!$D$21)^(BE4-1)*BE9</f>
        <v/>
      </c>
      <c r="BF10" s="25">
        <f>Inputs!$D$20*(1+Inputs!$D$21)^(BF4-1)*BF9</f>
        <v/>
      </c>
      <c r="BG10" s="25">
        <f>Inputs!$D$20*(1+Inputs!$D$21)^(BG4-1)*BG9</f>
        <v/>
      </c>
      <c r="BH10" s="25">
        <f>Inputs!$D$20*(1+Inputs!$D$21)^(BH4-1)*BH9</f>
        <v/>
      </c>
      <c r="BI10" s="25">
        <f>Inputs!$D$20*(1+Inputs!$D$21)^(BI4-1)*BI9</f>
        <v/>
      </c>
      <c r="BJ10" s="25">
        <f>Inputs!$D$20*(1+Inputs!$D$21)^(BJ4-1)*BJ9</f>
        <v/>
      </c>
    </row>
    <row r="11">
      <c r="A11" t="inlineStr">
        <is>
          <t>Transactions / day</t>
        </is>
      </c>
      <c r="C11" s="24">
        <f>C8*Inputs!$D$19*C10+Inputs!$D$23*C9</f>
        <v/>
      </c>
      <c r="D11" s="24">
        <f>D8*Inputs!$D$19*D10+Inputs!$D$23*D9</f>
        <v/>
      </c>
      <c r="E11" s="24">
        <f>E8*Inputs!$D$19*E10+Inputs!$D$23*E9</f>
        <v/>
      </c>
      <c r="F11" s="24">
        <f>F8*Inputs!$D$19*F10+Inputs!$D$23*F9</f>
        <v/>
      </c>
      <c r="G11" s="24">
        <f>G8*Inputs!$D$19*G10+Inputs!$D$23*G9</f>
        <v/>
      </c>
      <c r="H11" s="24">
        <f>H8*Inputs!$D$19*H10+Inputs!$D$23*H9</f>
        <v/>
      </c>
      <c r="I11" s="24">
        <f>I8*Inputs!$D$19*I10+Inputs!$D$23*I9</f>
        <v/>
      </c>
      <c r="J11" s="24">
        <f>J8*Inputs!$D$19*J10+Inputs!$D$23*J9</f>
        <v/>
      </c>
      <c r="K11" s="24">
        <f>K8*Inputs!$D$19*K10+Inputs!$D$23*K9</f>
        <v/>
      </c>
      <c r="L11" s="24">
        <f>L8*Inputs!$D$19*L10+Inputs!$D$23*L9</f>
        <v/>
      </c>
      <c r="M11" s="24">
        <f>M8*Inputs!$D$19*M10+Inputs!$D$23*M9</f>
        <v/>
      </c>
      <c r="N11" s="24">
        <f>N8*Inputs!$D$19*N10+Inputs!$D$23*N9</f>
        <v/>
      </c>
      <c r="O11" s="24">
        <f>O8*Inputs!$D$19*O10+Inputs!$D$23*O9</f>
        <v/>
      </c>
      <c r="P11" s="24">
        <f>P8*Inputs!$D$19*P10+Inputs!$D$23*P9</f>
        <v/>
      </c>
      <c r="Q11" s="24">
        <f>Q8*Inputs!$D$19*Q10+Inputs!$D$23*Q9</f>
        <v/>
      </c>
      <c r="R11" s="24">
        <f>R8*Inputs!$D$19*R10+Inputs!$D$23*R9</f>
        <v/>
      </c>
      <c r="S11" s="24">
        <f>S8*Inputs!$D$19*S10+Inputs!$D$23*S9</f>
        <v/>
      </c>
      <c r="T11" s="24">
        <f>T8*Inputs!$D$19*T10+Inputs!$D$23*T9</f>
        <v/>
      </c>
      <c r="U11" s="24">
        <f>U8*Inputs!$D$19*U10+Inputs!$D$23*U9</f>
        <v/>
      </c>
      <c r="V11" s="24">
        <f>V8*Inputs!$D$19*V10+Inputs!$D$23*V9</f>
        <v/>
      </c>
      <c r="W11" s="24">
        <f>W8*Inputs!$D$19*W10+Inputs!$D$23*W9</f>
        <v/>
      </c>
      <c r="X11" s="24">
        <f>X8*Inputs!$D$19*X10+Inputs!$D$23*X9</f>
        <v/>
      </c>
      <c r="Y11" s="24">
        <f>Y8*Inputs!$D$19*Y10+Inputs!$D$23*Y9</f>
        <v/>
      </c>
      <c r="Z11" s="24">
        <f>Z8*Inputs!$D$19*Z10+Inputs!$D$23*Z9</f>
        <v/>
      </c>
      <c r="AA11" s="24">
        <f>AA8*Inputs!$D$19*AA10+Inputs!$D$23*AA9</f>
        <v/>
      </c>
      <c r="AB11" s="24">
        <f>AB8*Inputs!$D$19*AB10+Inputs!$D$23*AB9</f>
        <v/>
      </c>
      <c r="AC11" s="24">
        <f>AC8*Inputs!$D$19*AC10+Inputs!$D$23*AC9</f>
        <v/>
      </c>
      <c r="AD11" s="24">
        <f>AD8*Inputs!$D$19*AD10+Inputs!$D$23*AD9</f>
        <v/>
      </c>
      <c r="AE11" s="24">
        <f>AE8*Inputs!$D$19*AE10+Inputs!$D$23*AE9</f>
        <v/>
      </c>
      <c r="AF11" s="24">
        <f>AF8*Inputs!$D$19*AF10+Inputs!$D$23*AF9</f>
        <v/>
      </c>
      <c r="AG11" s="24">
        <f>AG8*Inputs!$D$19*AG10+Inputs!$D$23*AG9</f>
        <v/>
      </c>
      <c r="AH11" s="24">
        <f>AH8*Inputs!$D$19*AH10+Inputs!$D$23*AH9</f>
        <v/>
      </c>
      <c r="AI11" s="24">
        <f>AI8*Inputs!$D$19*AI10+Inputs!$D$23*AI9</f>
        <v/>
      </c>
      <c r="AJ11" s="24">
        <f>AJ8*Inputs!$D$19*AJ10+Inputs!$D$23*AJ9</f>
        <v/>
      </c>
      <c r="AK11" s="24">
        <f>AK8*Inputs!$D$19*AK10+Inputs!$D$23*AK9</f>
        <v/>
      </c>
      <c r="AL11" s="24">
        <f>AL8*Inputs!$D$19*AL10+Inputs!$D$23*AL9</f>
        <v/>
      </c>
      <c r="AM11" s="24">
        <f>AM8*Inputs!$D$19*AM10+Inputs!$D$23*AM9</f>
        <v/>
      </c>
      <c r="AN11" s="24">
        <f>AN8*Inputs!$D$19*AN10+Inputs!$D$23*AN9</f>
        <v/>
      </c>
      <c r="AO11" s="24">
        <f>AO8*Inputs!$D$19*AO10+Inputs!$D$23*AO9</f>
        <v/>
      </c>
      <c r="AP11" s="24">
        <f>AP8*Inputs!$D$19*AP10+Inputs!$D$23*AP9</f>
        <v/>
      </c>
      <c r="AQ11" s="24">
        <f>AQ8*Inputs!$D$19*AQ10+Inputs!$D$23*AQ9</f>
        <v/>
      </c>
      <c r="AR11" s="24">
        <f>AR8*Inputs!$D$19*AR10+Inputs!$D$23*AR9</f>
        <v/>
      </c>
      <c r="AS11" s="24">
        <f>AS8*Inputs!$D$19*AS10+Inputs!$D$23*AS9</f>
        <v/>
      </c>
      <c r="AT11" s="24">
        <f>AT8*Inputs!$D$19*AT10+Inputs!$D$23*AT9</f>
        <v/>
      </c>
      <c r="AU11" s="24">
        <f>AU8*Inputs!$D$19*AU10+Inputs!$D$23*AU9</f>
        <v/>
      </c>
      <c r="AV11" s="24">
        <f>AV8*Inputs!$D$19*AV10+Inputs!$D$23*AV9</f>
        <v/>
      </c>
      <c r="AW11" s="24">
        <f>AW8*Inputs!$D$19*AW10+Inputs!$D$23*AW9</f>
        <v/>
      </c>
      <c r="AX11" s="24">
        <f>AX8*Inputs!$D$19*AX10+Inputs!$D$23*AX9</f>
        <v/>
      </c>
      <c r="AY11" s="24">
        <f>AY8*Inputs!$D$19*AY10+Inputs!$D$23*AY9</f>
        <v/>
      </c>
      <c r="AZ11" s="24">
        <f>AZ8*Inputs!$D$19*AZ10+Inputs!$D$23*AZ9</f>
        <v/>
      </c>
      <c r="BA11" s="24">
        <f>BA8*Inputs!$D$19*BA10+Inputs!$D$23*BA9</f>
        <v/>
      </c>
      <c r="BB11" s="24">
        <f>BB8*Inputs!$D$19*BB10+Inputs!$D$23*BB9</f>
        <v/>
      </c>
      <c r="BC11" s="24">
        <f>BC8*Inputs!$D$19*BC10+Inputs!$D$23*BC9</f>
        <v/>
      </c>
      <c r="BD11" s="24">
        <f>BD8*Inputs!$D$19*BD10+Inputs!$D$23*BD9</f>
        <v/>
      </c>
      <c r="BE11" s="24">
        <f>BE8*Inputs!$D$19*BE10+Inputs!$D$23*BE9</f>
        <v/>
      </c>
      <c r="BF11" s="24">
        <f>BF8*Inputs!$D$19*BF10+Inputs!$D$23*BF9</f>
        <v/>
      </c>
      <c r="BG11" s="24">
        <f>BG8*Inputs!$D$19*BG10+Inputs!$D$23*BG9</f>
        <v/>
      </c>
      <c r="BH11" s="24">
        <f>BH8*Inputs!$D$19*BH10+Inputs!$D$23*BH9</f>
        <v/>
      </c>
      <c r="BI11" s="24">
        <f>BI8*Inputs!$D$19*BI10+Inputs!$D$23*BI9</f>
        <v/>
      </c>
      <c r="BJ11" s="24">
        <f>BJ8*Inputs!$D$19*BJ10+Inputs!$D$23*BJ9</f>
        <v/>
      </c>
    </row>
    <row r="12">
      <c r="A12" t="inlineStr">
        <is>
          <t>Average ticket (AMD, incl. VAT)</t>
        </is>
      </c>
      <c r="C12" s="3">
        <f>Inputs!$D$22*(1+Inputs!$D$24)^(C4-1)</f>
        <v/>
      </c>
      <c r="D12" s="3">
        <f>Inputs!$D$22*(1+Inputs!$D$24)^(D4-1)</f>
        <v/>
      </c>
      <c r="E12" s="3">
        <f>Inputs!$D$22*(1+Inputs!$D$24)^(E4-1)</f>
        <v/>
      </c>
      <c r="F12" s="3">
        <f>Inputs!$D$22*(1+Inputs!$D$24)^(F4-1)</f>
        <v/>
      </c>
      <c r="G12" s="3">
        <f>Inputs!$D$22*(1+Inputs!$D$24)^(G4-1)</f>
        <v/>
      </c>
      <c r="H12" s="3">
        <f>Inputs!$D$22*(1+Inputs!$D$24)^(H4-1)</f>
        <v/>
      </c>
      <c r="I12" s="3">
        <f>Inputs!$D$22*(1+Inputs!$D$24)^(I4-1)</f>
        <v/>
      </c>
      <c r="J12" s="3">
        <f>Inputs!$D$22*(1+Inputs!$D$24)^(J4-1)</f>
        <v/>
      </c>
      <c r="K12" s="3">
        <f>Inputs!$D$22*(1+Inputs!$D$24)^(K4-1)</f>
        <v/>
      </c>
      <c r="L12" s="3">
        <f>Inputs!$D$22*(1+Inputs!$D$24)^(L4-1)</f>
        <v/>
      </c>
      <c r="M12" s="3">
        <f>Inputs!$D$22*(1+Inputs!$D$24)^(M4-1)</f>
        <v/>
      </c>
      <c r="N12" s="3">
        <f>Inputs!$D$22*(1+Inputs!$D$24)^(N4-1)</f>
        <v/>
      </c>
      <c r="O12" s="3">
        <f>Inputs!$D$22*(1+Inputs!$D$24)^(O4-1)</f>
        <v/>
      </c>
      <c r="P12" s="3">
        <f>Inputs!$D$22*(1+Inputs!$D$24)^(P4-1)</f>
        <v/>
      </c>
      <c r="Q12" s="3">
        <f>Inputs!$D$22*(1+Inputs!$D$24)^(Q4-1)</f>
        <v/>
      </c>
      <c r="R12" s="3">
        <f>Inputs!$D$22*(1+Inputs!$D$24)^(R4-1)</f>
        <v/>
      </c>
      <c r="S12" s="3">
        <f>Inputs!$D$22*(1+Inputs!$D$24)^(S4-1)</f>
        <v/>
      </c>
      <c r="T12" s="3">
        <f>Inputs!$D$22*(1+Inputs!$D$24)^(T4-1)</f>
        <v/>
      </c>
      <c r="U12" s="3">
        <f>Inputs!$D$22*(1+Inputs!$D$24)^(U4-1)</f>
        <v/>
      </c>
      <c r="V12" s="3">
        <f>Inputs!$D$22*(1+Inputs!$D$24)^(V4-1)</f>
        <v/>
      </c>
      <c r="W12" s="3">
        <f>Inputs!$D$22*(1+Inputs!$D$24)^(W4-1)</f>
        <v/>
      </c>
      <c r="X12" s="3">
        <f>Inputs!$D$22*(1+Inputs!$D$24)^(X4-1)</f>
        <v/>
      </c>
      <c r="Y12" s="3">
        <f>Inputs!$D$22*(1+Inputs!$D$24)^(Y4-1)</f>
        <v/>
      </c>
      <c r="Z12" s="3">
        <f>Inputs!$D$22*(1+Inputs!$D$24)^(Z4-1)</f>
        <v/>
      </c>
      <c r="AA12" s="3">
        <f>Inputs!$D$22*(1+Inputs!$D$24)^(AA4-1)</f>
        <v/>
      </c>
      <c r="AB12" s="3">
        <f>Inputs!$D$22*(1+Inputs!$D$24)^(AB4-1)</f>
        <v/>
      </c>
      <c r="AC12" s="3">
        <f>Inputs!$D$22*(1+Inputs!$D$24)^(AC4-1)</f>
        <v/>
      </c>
      <c r="AD12" s="3">
        <f>Inputs!$D$22*(1+Inputs!$D$24)^(AD4-1)</f>
        <v/>
      </c>
      <c r="AE12" s="3">
        <f>Inputs!$D$22*(1+Inputs!$D$24)^(AE4-1)</f>
        <v/>
      </c>
      <c r="AF12" s="3">
        <f>Inputs!$D$22*(1+Inputs!$D$24)^(AF4-1)</f>
        <v/>
      </c>
      <c r="AG12" s="3">
        <f>Inputs!$D$22*(1+Inputs!$D$24)^(AG4-1)</f>
        <v/>
      </c>
      <c r="AH12" s="3">
        <f>Inputs!$D$22*(1+Inputs!$D$24)^(AH4-1)</f>
        <v/>
      </c>
      <c r="AI12" s="3">
        <f>Inputs!$D$22*(1+Inputs!$D$24)^(AI4-1)</f>
        <v/>
      </c>
      <c r="AJ12" s="3">
        <f>Inputs!$D$22*(1+Inputs!$D$24)^(AJ4-1)</f>
        <v/>
      </c>
      <c r="AK12" s="3">
        <f>Inputs!$D$22*(1+Inputs!$D$24)^(AK4-1)</f>
        <v/>
      </c>
      <c r="AL12" s="3">
        <f>Inputs!$D$22*(1+Inputs!$D$24)^(AL4-1)</f>
        <v/>
      </c>
      <c r="AM12" s="3">
        <f>Inputs!$D$22*(1+Inputs!$D$24)^(AM4-1)</f>
        <v/>
      </c>
      <c r="AN12" s="3">
        <f>Inputs!$D$22*(1+Inputs!$D$24)^(AN4-1)</f>
        <v/>
      </c>
      <c r="AO12" s="3">
        <f>Inputs!$D$22*(1+Inputs!$D$24)^(AO4-1)</f>
        <v/>
      </c>
      <c r="AP12" s="3">
        <f>Inputs!$D$22*(1+Inputs!$D$24)^(AP4-1)</f>
        <v/>
      </c>
      <c r="AQ12" s="3">
        <f>Inputs!$D$22*(1+Inputs!$D$24)^(AQ4-1)</f>
        <v/>
      </c>
      <c r="AR12" s="3">
        <f>Inputs!$D$22*(1+Inputs!$D$24)^(AR4-1)</f>
        <v/>
      </c>
      <c r="AS12" s="3">
        <f>Inputs!$D$22*(1+Inputs!$D$24)^(AS4-1)</f>
        <v/>
      </c>
      <c r="AT12" s="3">
        <f>Inputs!$D$22*(1+Inputs!$D$24)^(AT4-1)</f>
        <v/>
      </c>
      <c r="AU12" s="3">
        <f>Inputs!$D$22*(1+Inputs!$D$24)^(AU4-1)</f>
        <v/>
      </c>
      <c r="AV12" s="3">
        <f>Inputs!$D$22*(1+Inputs!$D$24)^(AV4-1)</f>
        <v/>
      </c>
      <c r="AW12" s="3">
        <f>Inputs!$D$22*(1+Inputs!$D$24)^(AW4-1)</f>
        <v/>
      </c>
      <c r="AX12" s="3">
        <f>Inputs!$D$22*(1+Inputs!$D$24)^(AX4-1)</f>
        <v/>
      </c>
      <c r="AY12" s="3">
        <f>Inputs!$D$22*(1+Inputs!$D$24)^(AY4-1)</f>
        <v/>
      </c>
      <c r="AZ12" s="3">
        <f>Inputs!$D$22*(1+Inputs!$D$24)^(AZ4-1)</f>
        <v/>
      </c>
      <c r="BA12" s="3">
        <f>Inputs!$D$22*(1+Inputs!$D$24)^(BA4-1)</f>
        <v/>
      </c>
      <c r="BB12" s="3">
        <f>Inputs!$D$22*(1+Inputs!$D$24)^(BB4-1)</f>
        <v/>
      </c>
      <c r="BC12" s="3">
        <f>Inputs!$D$22*(1+Inputs!$D$24)^(BC4-1)</f>
        <v/>
      </c>
      <c r="BD12" s="3">
        <f>Inputs!$D$22*(1+Inputs!$D$24)^(BD4-1)</f>
        <v/>
      </c>
      <c r="BE12" s="3">
        <f>Inputs!$D$22*(1+Inputs!$D$24)^(BE4-1)</f>
        <v/>
      </c>
      <c r="BF12" s="3">
        <f>Inputs!$D$22*(1+Inputs!$D$24)^(BF4-1)</f>
        <v/>
      </c>
      <c r="BG12" s="3">
        <f>Inputs!$D$22*(1+Inputs!$D$24)^(BG4-1)</f>
        <v/>
      </c>
      <c r="BH12" s="3">
        <f>Inputs!$D$22*(1+Inputs!$D$24)^(BH4-1)</f>
        <v/>
      </c>
      <c r="BI12" s="3">
        <f>Inputs!$D$22*(1+Inputs!$D$24)^(BI4-1)</f>
        <v/>
      </c>
      <c r="BJ12" s="3">
        <f>Inputs!$D$22*(1+Inputs!$D$24)^(BJ4-1)</f>
        <v/>
      </c>
    </row>
    <row r="13">
      <c r="A13" t="inlineStr">
        <is>
          <t>Gross sales (incl. VAT)</t>
        </is>
      </c>
      <c r="C13" s="3">
        <f>C11*C6*C12</f>
        <v/>
      </c>
      <c r="D13" s="3">
        <f>D11*D6*D12</f>
        <v/>
      </c>
      <c r="E13" s="3">
        <f>E11*E6*E12</f>
        <v/>
      </c>
      <c r="F13" s="3">
        <f>F11*F6*F12</f>
        <v/>
      </c>
      <c r="G13" s="3">
        <f>G11*G6*G12</f>
        <v/>
      </c>
      <c r="H13" s="3">
        <f>H11*H6*H12</f>
        <v/>
      </c>
      <c r="I13" s="3">
        <f>I11*I6*I12</f>
        <v/>
      </c>
      <c r="J13" s="3">
        <f>J11*J6*J12</f>
        <v/>
      </c>
      <c r="K13" s="3">
        <f>K11*K6*K12</f>
        <v/>
      </c>
      <c r="L13" s="3">
        <f>L11*L6*L12</f>
        <v/>
      </c>
      <c r="M13" s="3">
        <f>M11*M6*M12</f>
        <v/>
      </c>
      <c r="N13" s="3">
        <f>N11*N6*N12</f>
        <v/>
      </c>
      <c r="O13" s="3">
        <f>O11*O6*O12</f>
        <v/>
      </c>
      <c r="P13" s="3">
        <f>P11*P6*P12</f>
        <v/>
      </c>
      <c r="Q13" s="3">
        <f>Q11*Q6*Q12</f>
        <v/>
      </c>
      <c r="R13" s="3">
        <f>R11*R6*R12</f>
        <v/>
      </c>
      <c r="S13" s="3">
        <f>S11*S6*S12</f>
        <v/>
      </c>
      <c r="T13" s="3">
        <f>T11*T6*T12</f>
        <v/>
      </c>
      <c r="U13" s="3">
        <f>U11*U6*U12</f>
        <v/>
      </c>
      <c r="V13" s="3">
        <f>V11*V6*V12</f>
        <v/>
      </c>
      <c r="W13" s="3">
        <f>W11*W6*W12</f>
        <v/>
      </c>
      <c r="X13" s="3">
        <f>X11*X6*X12</f>
        <v/>
      </c>
      <c r="Y13" s="3">
        <f>Y11*Y6*Y12</f>
        <v/>
      </c>
      <c r="Z13" s="3">
        <f>Z11*Z6*Z12</f>
        <v/>
      </c>
      <c r="AA13" s="3">
        <f>AA11*AA6*AA12</f>
        <v/>
      </c>
      <c r="AB13" s="3">
        <f>AB11*AB6*AB12</f>
        <v/>
      </c>
      <c r="AC13" s="3">
        <f>AC11*AC6*AC12</f>
        <v/>
      </c>
      <c r="AD13" s="3">
        <f>AD11*AD6*AD12</f>
        <v/>
      </c>
      <c r="AE13" s="3">
        <f>AE11*AE6*AE12</f>
        <v/>
      </c>
      <c r="AF13" s="3">
        <f>AF11*AF6*AF12</f>
        <v/>
      </c>
      <c r="AG13" s="3">
        <f>AG11*AG6*AG12</f>
        <v/>
      </c>
      <c r="AH13" s="3">
        <f>AH11*AH6*AH12</f>
        <v/>
      </c>
      <c r="AI13" s="3">
        <f>AI11*AI6*AI12</f>
        <v/>
      </c>
      <c r="AJ13" s="3">
        <f>AJ11*AJ6*AJ12</f>
        <v/>
      </c>
      <c r="AK13" s="3">
        <f>AK11*AK6*AK12</f>
        <v/>
      </c>
      <c r="AL13" s="3">
        <f>AL11*AL6*AL12</f>
        <v/>
      </c>
      <c r="AM13" s="3">
        <f>AM11*AM6*AM12</f>
        <v/>
      </c>
      <c r="AN13" s="3">
        <f>AN11*AN6*AN12</f>
        <v/>
      </c>
      <c r="AO13" s="3">
        <f>AO11*AO6*AO12</f>
        <v/>
      </c>
      <c r="AP13" s="3">
        <f>AP11*AP6*AP12</f>
        <v/>
      </c>
      <c r="AQ13" s="3">
        <f>AQ11*AQ6*AQ12</f>
        <v/>
      </c>
      <c r="AR13" s="3">
        <f>AR11*AR6*AR12</f>
        <v/>
      </c>
      <c r="AS13" s="3">
        <f>AS11*AS6*AS12</f>
        <v/>
      </c>
      <c r="AT13" s="3">
        <f>AT11*AT6*AT12</f>
        <v/>
      </c>
      <c r="AU13" s="3">
        <f>AU11*AU6*AU12</f>
        <v/>
      </c>
      <c r="AV13" s="3">
        <f>AV11*AV6*AV12</f>
        <v/>
      </c>
      <c r="AW13" s="3">
        <f>AW11*AW6*AW12</f>
        <v/>
      </c>
      <c r="AX13" s="3">
        <f>AX11*AX6*AX12</f>
        <v/>
      </c>
      <c r="AY13" s="3">
        <f>AY11*AY6*AY12</f>
        <v/>
      </c>
      <c r="AZ13" s="3">
        <f>AZ11*AZ6*AZ12</f>
        <v/>
      </c>
      <c r="BA13" s="3">
        <f>BA11*BA6*BA12</f>
        <v/>
      </c>
      <c r="BB13" s="3">
        <f>BB11*BB6*BB12</f>
        <v/>
      </c>
      <c r="BC13" s="3">
        <f>BC11*BC6*BC12</f>
        <v/>
      </c>
      <c r="BD13" s="3">
        <f>BD11*BD6*BD12</f>
        <v/>
      </c>
      <c r="BE13" s="3">
        <f>BE11*BE6*BE12</f>
        <v/>
      </c>
      <c r="BF13" s="3">
        <f>BF11*BF6*BF12</f>
        <v/>
      </c>
      <c r="BG13" s="3">
        <f>BG11*BG6*BG12</f>
        <v/>
      </c>
      <c r="BH13" s="3">
        <f>BH11*BH6*BH12</f>
        <v/>
      </c>
      <c r="BI13" s="3">
        <f>BI11*BI6*BI12</f>
        <v/>
      </c>
      <c r="BJ13" s="3">
        <f>BJ11*BJ6*BJ12</f>
        <v/>
      </c>
    </row>
    <row r="14">
      <c r="A14" s="18" t="inlineStr">
        <is>
          <t>Net sales (excl. VAT)</t>
        </is>
      </c>
      <c r="C14" s="3">
        <f>C13/(1+Inputs!$D$10)</f>
        <v/>
      </c>
      <c r="D14" s="3">
        <f>D13/(1+Inputs!$D$10)</f>
        <v/>
      </c>
      <c r="E14" s="3">
        <f>E13/(1+Inputs!$D$10)</f>
        <v/>
      </c>
      <c r="F14" s="3">
        <f>F13/(1+Inputs!$D$10)</f>
        <v/>
      </c>
      <c r="G14" s="3">
        <f>G13/(1+Inputs!$D$10)</f>
        <v/>
      </c>
      <c r="H14" s="3">
        <f>H13/(1+Inputs!$D$10)</f>
        <v/>
      </c>
      <c r="I14" s="3">
        <f>I13/(1+Inputs!$D$10)</f>
        <v/>
      </c>
      <c r="J14" s="3">
        <f>J13/(1+Inputs!$D$10)</f>
        <v/>
      </c>
      <c r="K14" s="3">
        <f>K13/(1+Inputs!$D$10)</f>
        <v/>
      </c>
      <c r="L14" s="3">
        <f>L13/(1+Inputs!$D$10)</f>
        <v/>
      </c>
      <c r="M14" s="3">
        <f>M13/(1+Inputs!$D$10)</f>
        <v/>
      </c>
      <c r="N14" s="3">
        <f>N13/(1+Inputs!$D$10)</f>
        <v/>
      </c>
      <c r="O14" s="3">
        <f>O13/(1+Inputs!$D$10)</f>
        <v/>
      </c>
      <c r="P14" s="3">
        <f>P13/(1+Inputs!$D$10)</f>
        <v/>
      </c>
      <c r="Q14" s="3">
        <f>Q13/(1+Inputs!$D$10)</f>
        <v/>
      </c>
      <c r="R14" s="3">
        <f>R13/(1+Inputs!$D$10)</f>
        <v/>
      </c>
      <c r="S14" s="3">
        <f>S13/(1+Inputs!$D$10)</f>
        <v/>
      </c>
      <c r="T14" s="3">
        <f>T13/(1+Inputs!$D$10)</f>
        <v/>
      </c>
      <c r="U14" s="3">
        <f>U13/(1+Inputs!$D$10)</f>
        <v/>
      </c>
      <c r="V14" s="3">
        <f>V13/(1+Inputs!$D$10)</f>
        <v/>
      </c>
      <c r="W14" s="3">
        <f>W13/(1+Inputs!$D$10)</f>
        <v/>
      </c>
      <c r="X14" s="3">
        <f>X13/(1+Inputs!$D$10)</f>
        <v/>
      </c>
      <c r="Y14" s="3">
        <f>Y13/(1+Inputs!$D$10)</f>
        <v/>
      </c>
      <c r="Z14" s="3">
        <f>Z13/(1+Inputs!$D$10)</f>
        <v/>
      </c>
      <c r="AA14" s="3">
        <f>AA13/(1+Inputs!$D$10)</f>
        <v/>
      </c>
      <c r="AB14" s="3">
        <f>AB13/(1+Inputs!$D$10)</f>
        <v/>
      </c>
      <c r="AC14" s="3">
        <f>AC13/(1+Inputs!$D$10)</f>
        <v/>
      </c>
      <c r="AD14" s="3">
        <f>AD13/(1+Inputs!$D$10)</f>
        <v/>
      </c>
      <c r="AE14" s="3">
        <f>AE13/(1+Inputs!$D$10)</f>
        <v/>
      </c>
      <c r="AF14" s="3">
        <f>AF13/(1+Inputs!$D$10)</f>
        <v/>
      </c>
      <c r="AG14" s="3">
        <f>AG13/(1+Inputs!$D$10)</f>
        <v/>
      </c>
      <c r="AH14" s="3">
        <f>AH13/(1+Inputs!$D$10)</f>
        <v/>
      </c>
      <c r="AI14" s="3">
        <f>AI13/(1+Inputs!$D$10)</f>
        <v/>
      </c>
      <c r="AJ14" s="3">
        <f>AJ13/(1+Inputs!$D$10)</f>
        <v/>
      </c>
      <c r="AK14" s="3">
        <f>AK13/(1+Inputs!$D$10)</f>
        <v/>
      </c>
      <c r="AL14" s="3">
        <f>AL13/(1+Inputs!$D$10)</f>
        <v/>
      </c>
      <c r="AM14" s="3">
        <f>AM13/(1+Inputs!$D$10)</f>
        <v/>
      </c>
      <c r="AN14" s="3">
        <f>AN13/(1+Inputs!$D$10)</f>
        <v/>
      </c>
      <c r="AO14" s="3">
        <f>AO13/(1+Inputs!$D$10)</f>
        <v/>
      </c>
      <c r="AP14" s="3">
        <f>AP13/(1+Inputs!$D$10)</f>
        <v/>
      </c>
      <c r="AQ14" s="3">
        <f>AQ13/(1+Inputs!$D$10)</f>
        <v/>
      </c>
      <c r="AR14" s="3">
        <f>AR13/(1+Inputs!$D$10)</f>
        <v/>
      </c>
      <c r="AS14" s="3">
        <f>AS13/(1+Inputs!$D$10)</f>
        <v/>
      </c>
      <c r="AT14" s="3">
        <f>AT13/(1+Inputs!$D$10)</f>
        <v/>
      </c>
      <c r="AU14" s="3">
        <f>AU13/(1+Inputs!$D$10)</f>
        <v/>
      </c>
      <c r="AV14" s="3">
        <f>AV13/(1+Inputs!$D$10)</f>
        <v/>
      </c>
      <c r="AW14" s="3">
        <f>AW13/(1+Inputs!$D$10)</f>
        <v/>
      </c>
      <c r="AX14" s="3">
        <f>AX13/(1+Inputs!$D$10)</f>
        <v/>
      </c>
      <c r="AY14" s="3">
        <f>AY13/(1+Inputs!$D$10)</f>
        <v/>
      </c>
      <c r="AZ14" s="3">
        <f>AZ13/(1+Inputs!$D$10)</f>
        <v/>
      </c>
      <c r="BA14" s="3">
        <f>BA13/(1+Inputs!$D$10)</f>
        <v/>
      </c>
      <c r="BB14" s="3">
        <f>BB13/(1+Inputs!$D$10)</f>
        <v/>
      </c>
      <c r="BC14" s="3">
        <f>BC13/(1+Inputs!$D$10)</f>
        <v/>
      </c>
      <c r="BD14" s="3">
        <f>BD13/(1+Inputs!$D$10)</f>
        <v/>
      </c>
      <c r="BE14" s="3">
        <f>BE13/(1+Inputs!$D$10)</f>
        <v/>
      </c>
      <c r="BF14" s="3">
        <f>BF13/(1+Inputs!$D$10)</f>
        <v/>
      </c>
      <c r="BG14" s="3">
        <f>BG13/(1+Inputs!$D$10)</f>
        <v/>
      </c>
      <c r="BH14" s="3">
        <f>BH13/(1+Inputs!$D$10)</f>
        <v/>
      </c>
      <c r="BI14" s="3">
        <f>BI13/(1+Inputs!$D$10)</f>
        <v/>
      </c>
      <c r="BJ14" s="3">
        <f>BJ13/(1+Inputs!$D$10)</f>
        <v/>
      </c>
    </row>
    <row r="15">
      <c r="A15" t="inlineStr">
        <is>
          <t>COGS + waste</t>
        </is>
      </c>
      <c r="C15" s="3">
        <f>C14*(Inputs!$D$55+Inputs!$D$56)</f>
        <v/>
      </c>
      <c r="D15" s="3">
        <f>D14*(Inputs!$D$55+Inputs!$D$56)</f>
        <v/>
      </c>
      <c r="E15" s="3">
        <f>E14*(Inputs!$D$55+Inputs!$D$56)</f>
        <v/>
      </c>
      <c r="F15" s="3">
        <f>F14*(Inputs!$D$55+Inputs!$D$56)</f>
        <v/>
      </c>
      <c r="G15" s="3">
        <f>G14*(Inputs!$D$55+Inputs!$D$56)</f>
        <v/>
      </c>
      <c r="H15" s="3">
        <f>H14*(Inputs!$D$55+Inputs!$D$56)</f>
        <v/>
      </c>
      <c r="I15" s="3">
        <f>I14*(Inputs!$D$55+Inputs!$D$56)</f>
        <v/>
      </c>
      <c r="J15" s="3">
        <f>J14*(Inputs!$D$55+Inputs!$D$56)</f>
        <v/>
      </c>
      <c r="K15" s="3">
        <f>K14*(Inputs!$D$55+Inputs!$D$56)</f>
        <v/>
      </c>
      <c r="L15" s="3">
        <f>L14*(Inputs!$D$55+Inputs!$D$56)</f>
        <v/>
      </c>
      <c r="M15" s="3">
        <f>M14*(Inputs!$D$55+Inputs!$D$56)</f>
        <v/>
      </c>
      <c r="N15" s="3">
        <f>N14*(Inputs!$D$55+Inputs!$D$56)</f>
        <v/>
      </c>
      <c r="O15" s="3">
        <f>O14*(Inputs!$D$55+Inputs!$D$56)</f>
        <v/>
      </c>
      <c r="P15" s="3">
        <f>P14*(Inputs!$D$55+Inputs!$D$56)</f>
        <v/>
      </c>
      <c r="Q15" s="3">
        <f>Q14*(Inputs!$D$55+Inputs!$D$56)</f>
        <v/>
      </c>
      <c r="R15" s="3">
        <f>R14*(Inputs!$D$55+Inputs!$D$56)</f>
        <v/>
      </c>
      <c r="S15" s="3">
        <f>S14*(Inputs!$D$55+Inputs!$D$56)</f>
        <v/>
      </c>
      <c r="T15" s="3">
        <f>T14*(Inputs!$D$55+Inputs!$D$56)</f>
        <v/>
      </c>
      <c r="U15" s="3">
        <f>U14*(Inputs!$D$55+Inputs!$D$56)</f>
        <v/>
      </c>
      <c r="V15" s="3">
        <f>V14*(Inputs!$D$55+Inputs!$D$56)</f>
        <v/>
      </c>
      <c r="W15" s="3">
        <f>W14*(Inputs!$D$55+Inputs!$D$56)</f>
        <v/>
      </c>
      <c r="X15" s="3">
        <f>X14*(Inputs!$D$55+Inputs!$D$56)</f>
        <v/>
      </c>
      <c r="Y15" s="3">
        <f>Y14*(Inputs!$D$55+Inputs!$D$56)</f>
        <v/>
      </c>
      <c r="Z15" s="3">
        <f>Z14*(Inputs!$D$55+Inputs!$D$56)</f>
        <v/>
      </c>
      <c r="AA15" s="3">
        <f>AA14*(Inputs!$D$55+Inputs!$D$56)</f>
        <v/>
      </c>
      <c r="AB15" s="3">
        <f>AB14*(Inputs!$D$55+Inputs!$D$56)</f>
        <v/>
      </c>
      <c r="AC15" s="3">
        <f>AC14*(Inputs!$D$55+Inputs!$D$56)</f>
        <v/>
      </c>
      <c r="AD15" s="3">
        <f>AD14*(Inputs!$D$55+Inputs!$D$56)</f>
        <v/>
      </c>
      <c r="AE15" s="3">
        <f>AE14*(Inputs!$D$55+Inputs!$D$56)</f>
        <v/>
      </c>
      <c r="AF15" s="3">
        <f>AF14*(Inputs!$D$55+Inputs!$D$56)</f>
        <v/>
      </c>
      <c r="AG15" s="3">
        <f>AG14*(Inputs!$D$55+Inputs!$D$56)</f>
        <v/>
      </c>
      <c r="AH15" s="3">
        <f>AH14*(Inputs!$D$55+Inputs!$D$56)</f>
        <v/>
      </c>
      <c r="AI15" s="3">
        <f>AI14*(Inputs!$D$55+Inputs!$D$56)</f>
        <v/>
      </c>
      <c r="AJ15" s="3">
        <f>AJ14*(Inputs!$D$55+Inputs!$D$56)</f>
        <v/>
      </c>
      <c r="AK15" s="3">
        <f>AK14*(Inputs!$D$55+Inputs!$D$56)</f>
        <v/>
      </c>
      <c r="AL15" s="3">
        <f>AL14*(Inputs!$D$55+Inputs!$D$56)</f>
        <v/>
      </c>
      <c r="AM15" s="3">
        <f>AM14*(Inputs!$D$55+Inputs!$D$56)</f>
        <v/>
      </c>
      <c r="AN15" s="3">
        <f>AN14*(Inputs!$D$55+Inputs!$D$56)</f>
        <v/>
      </c>
      <c r="AO15" s="3">
        <f>AO14*(Inputs!$D$55+Inputs!$D$56)</f>
        <v/>
      </c>
      <c r="AP15" s="3">
        <f>AP14*(Inputs!$D$55+Inputs!$D$56)</f>
        <v/>
      </c>
      <c r="AQ15" s="3">
        <f>AQ14*(Inputs!$D$55+Inputs!$D$56)</f>
        <v/>
      </c>
      <c r="AR15" s="3">
        <f>AR14*(Inputs!$D$55+Inputs!$D$56)</f>
        <v/>
      </c>
      <c r="AS15" s="3">
        <f>AS14*(Inputs!$D$55+Inputs!$D$56)</f>
        <v/>
      </c>
      <c r="AT15" s="3">
        <f>AT14*(Inputs!$D$55+Inputs!$D$56)</f>
        <v/>
      </c>
      <c r="AU15" s="3">
        <f>AU14*(Inputs!$D$55+Inputs!$D$56)</f>
        <v/>
      </c>
      <c r="AV15" s="3">
        <f>AV14*(Inputs!$D$55+Inputs!$D$56)</f>
        <v/>
      </c>
      <c r="AW15" s="3">
        <f>AW14*(Inputs!$D$55+Inputs!$D$56)</f>
        <v/>
      </c>
      <c r="AX15" s="3">
        <f>AX14*(Inputs!$D$55+Inputs!$D$56)</f>
        <v/>
      </c>
      <c r="AY15" s="3">
        <f>AY14*(Inputs!$D$55+Inputs!$D$56)</f>
        <v/>
      </c>
      <c r="AZ15" s="3">
        <f>AZ14*(Inputs!$D$55+Inputs!$D$56)</f>
        <v/>
      </c>
      <c r="BA15" s="3">
        <f>BA14*(Inputs!$D$55+Inputs!$D$56)</f>
        <v/>
      </c>
      <c r="BB15" s="3">
        <f>BB14*(Inputs!$D$55+Inputs!$D$56)</f>
        <v/>
      </c>
      <c r="BC15" s="3">
        <f>BC14*(Inputs!$D$55+Inputs!$D$56)</f>
        <v/>
      </c>
      <c r="BD15" s="3">
        <f>BD14*(Inputs!$D$55+Inputs!$D$56)</f>
        <v/>
      </c>
      <c r="BE15" s="3">
        <f>BE14*(Inputs!$D$55+Inputs!$D$56)</f>
        <v/>
      </c>
      <c r="BF15" s="3">
        <f>BF14*(Inputs!$D$55+Inputs!$D$56)</f>
        <v/>
      </c>
      <c r="BG15" s="3">
        <f>BG14*(Inputs!$D$55+Inputs!$D$56)</f>
        <v/>
      </c>
      <c r="BH15" s="3">
        <f>BH14*(Inputs!$D$55+Inputs!$D$56)</f>
        <v/>
      </c>
      <c r="BI15" s="3">
        <f>BI14*(Inputs!$D$55+Inputs!$D$56)</f>
        <v/>
      </c>
      <c r="BJ15" s="3">
        <f>BJ14*(Inputs!$D$55+Inputs!$D$56)</f>
        <v/>
      </c>
    </row>
    <row r="16">
      <c r="A16" t="inlineStr">
        <is>
          <t>Card fees</t>
        </is>
      </c>
      <c r="C16" s="3">
        <f>C13*Inputs!$D$57*Inputs!$D$58</f>
        <v/>
      </c>
      <c r="D16" s="3">
        <f>D13*Inputs!$D$57*Inputs!$D$58</f>
        <v/>
      </c>
      <c r="E16" s="3">
        <f>E13*Inputs!$D$57*Inputs!$D$58</f>
        <v/>
      </c>
      <c r="F16" s="3">
        <f>F13*Inputs!$D$57*Inputs!$D$58</f>
        <v/>
      </c>
      <c r="G16" s="3">
        <f>G13*Inputs!$D$57*Inputs!$D$58</f>
        <v/>
      </c>
      <c r="H16" s="3">
        <f>H13*Inputs!$D$57*Inputs!$D$58</f>
        <v/>
      </c>
      <c r="I16" s="3">
        <f>I13*Inputs!$D$57*Inputs!$D$58</f>
        <v/>
      </c>
      <c r="J16" s="3">
        <f>J13*Inputs!$D$57*Inputs!$D$58</f>
        <v/>
      </c>
      <c r="K16" s="3">
        <f>K13*Inputs!$D$57*Inputs!$D$58</f>
        <v/>
      </c>
      <c r="L16" s="3">
        <f>L13*Inputs!$D$57*Inputs!$D$58</f>
        <v/>
      </c>
      <c r="M16" s="3">
        <f>M13*Inputs!$D$57*Inputs!$D$58</f>
        <v/>
      </c>
      <c r="N16" s="3">
        <f>N13*Inputs!$D$57*Inputs!$D$58</f>
        <v/>
      </c>
      <c r="O16" s="3">
        <f>O13*Inputs!$D$57*Inputs!$D$58</f>
        <v/>
      </c>
      <c r="P16" s="3">
        <f>P13*Inputs!$D$57*Inputs!$D$58</f>
        <v/>
      </c>
      <c r="Q16" s="3">
        <f>Q13*Inputs!$D$57*Inputs!$D$58</f>
        <v/>
      </c>
      <c r="R16" s="3">
        <f>R13*Inputs!$D$57*Inputs!$D$58</f>
        <v/>
      </c>
      <c r="S16" s="3">
        <f>S13*Inputs!$D$57*Inputs!$D$58</f>
        <v/>
      </c>
      <c r="T16" s="3">
        <f>T13*Inputs!$D$57*Inputs!$D$58</f>
        <v/>
      </c>
      <c r="U16" s="3">
        <f>U13*Inputs!$D$57*Inputs!$D$58</f>
        <v/>
      </c>
      <c r="V16" s="3">
        <f>V13*Inputs!$D$57*Inputs!$D$58</f>
        <v/>
      </c>
      <c r="W16" s="3">
        <f>W13*Inputs!$D$57*Inputs!$D$58</f>
        <v/>
      </c>
      <c r="X16" s="3">
        <f>X13*Inputs!$D$57*Inputs!$D$58</f>
        <v/>
      </c>
      <c r="Y16" s="3">
        <f>Y13*Inputs!$D$57*Inputs!$D$58</f>
        <v/>
      </c>
      <c r="Z16" s="3">
        <f>Z13*Inputs!$D$57*Inputs!$D$58</f>
        <v/>
      </c>
      <c r="AA16" s="3">
        <f>AA13*Inputs!$D$57*Inputs!$D$58</f>
        <v/>
      </c>
      <c r="AB16" s="3">
        <f>AB13*Inputs!$D$57*Inputs!$D$58</f>
        <v/>
      </c>
      <c r="AC16" s="3">
        <f>AC13*Inputs!$D$57*Inputs!$D$58</f>
        <v/>
      </c>
      <c r="AD16" s="3">
        <f>AD13*Inputs!$D$57*Inputs!$D$58</f>
        <v/>
      </c>
      <c r="AE16" s="3">
        <f>AE13*Inputs!$D$57*Inputs!$D$58</f>
        <v/>
      </c>
      <c r="AF16" s="3">
        <f>AF13*Inputs!$D$57*Inputs!$D$58</f>
        <v/>
      </c>
      <c r="AG16" s="3">
        <f>AG13*Inputs!$D$57*Inputs!$D$58</f>
        <v/>
      </c>
      <c r="AH16" s="3">
        <f>AH13*Inputs!$D$57*Inputs!$D$58</f>
        <v/>
      </c>
      <c r="AI16" s="3">
        <f>AI13*Inputs!$D$57*Inputs!$D$58</f>
        <v/>
      </c>
      <c r="AJ16" s="3">
        <f>AJ13*Inputs!$D$57*Inputs!$D$58</f>
        <v/>
      </c>
      <c r="AK16" s="3">
        <f>AK13*Inputs!$D$57*Inputs!$D$58</f>
        <v/>
      </c>
      <c r="AL16" s="3">
        <f>AL13*Inputs!$D$57*Inputs!$D$58</f>
        <v/>
      </c>
      <c r="AM16" s="3">
        <f>AM13*Inputs!$D$57*Inputs!$D$58</f>
        <v/>
      </c>
      <c r="AN16" s="3">
        <f>AN13*Inputs!$D$57*Inputs!$D$58</f>
        <v/>
      </c>
      <c r="AO16" s="3">
        <f>AO13*Inputs!$D$57*Inputs!$D$58</f>
        <v/>
      </c>
      <c r="AP16" s="3">
        <f>AP13*Inputs!$D$57*Inputs!$D$58</f>
        <v/>
      </c>
      <c r="AQ16" s="3">
        <f>AQ13*Inputs!$D$57*Inputs!$D$58</f>
        <v/>
      </c>
      <c r="AR16" s="3">
        <f>AR13*Inputs!$D$57*Inputs!$D$58</f>
        <v/>
      </c>
      <c r="AS16" s="3">
        <f>AS13*Inputs!$D$57*Inputs!$D$58</f>
        <v/>
      </c>
      <c r="AT16" s="3">
        <f>AT13*Inputs!$D$57*Inputs!$D$58</f>
        <v/>
      </c>
      <c r="AU16" s="3">
        <f>AU13*Inputs!$D$57*Inputs!$D$58</f>
        <v/>
      </c>
      <c r="AV16" s="3">
        <f>AV13*Inputs!$D$57*Inputs!$D$58</f>
        <v/>
      </c>
      <c r="AW16" s="3">
        <f>AW13*Inputs!$D$57*Inputs!$D$58</f>
        <v/>
      </c>
      <c r="AX16" s="3">
        <f>AX13*Inputs!$D$57*Inputs!$D$58</f>
        <v/>
      </c>
      <c r="AY16" s="3">
        <f>AY13*Inputs!$D$57*Inputs!$D$58</f>
        <v/>
      </c>
      <c r="AZ16" s="3">
        <f>AZ13*Inputs!$D$57*Inputs!$D$58</f>
        <v/>
      </c>
      <c r="BA16" s="3">
        <f>BA13*Inputs!$D$57*Inputs!$D$58</f>
        <v/>
      </c>
      <c r="BB16" s="3">
        <f>BB13*Inputs!$D$57*Inputs!$D$58</f>
        <v/>
      </c>
      <c r="BC16" s="3">
        <f>BC13*Inputs!$D$57*Inputs!$D$58</f>
        <v/>
      </c>
      <c r="BD16" s="3">
        <f>BD13*Inputs!$D$57*Inputs!$D$58</f>
        <v/>
      </c>
      <c r="BE16" s="3">
        <f>BE13*Inputs!$D$57*Inputs!$D$58</f>
        <v/>
      </c>
      <c r="BF16" s="3">
        <f>BF13*Inputs!$D$57*Inputs!$D$58</f>
        <v/>
      </c>
      <c r="BG16" s="3">
        <f>BG13*Inputs!$D$57*Inputs!$D$58</f>
        <v/>
      </c>
      <c r="BH16" s="3">
        <f>BH13*Inputs!$D$57*Inputs!$D$58</f>
        <v/>
      </c>
      <c r="BI16" s="3">
        <f>BI13*Inputs!$D$57*Inputs!$D$58</f>
        <v/>
      </c>
      <c r="BJ16" s="3">
        <f>BJ13*Inputs!$D$57*Inputs!$D$58</f>
        <v/>
      </c>
    </row>
    <row r="17">
      <c r="A17" t="inlineStr">
        <is>
          <t>Marketing</t>
        </is>
      </c>
      <c r="C17" s="3">
        <f>C14*Inputs!$D$59+IF(C3&lt;=3,Inputs!$D$60/3,0)</f>
        <v/>
      </c>
      <c r="D17" s="3">
        <f>D14*Inputs!$D$59+IF(D3&lt;=3,Inputs!$D$60/3,0)</f>
        <v/>
      </c>
      <c r="E17" s="3">
        <f>E14*Inputs!$D$59+IF(E3&lt;=3,Inputs!$D$60/3,0)</f>
        <v/>
      </c>
      <c r="F17" s="3">
        <f>F14*Inputs!$D$59+IF(F3&lt;=3,Inputs!$D$60/3,0)</f>
        <v/>
      </c>
      <c r="G17" s="3">
        <f>G14*Inputs!$D$59+IF(G3&lt;=3,Inputs!$D$60/3,0)</f>
        <v/>
      </c>
      <c r="H17" s="3">
        <f>H14*Inputs!$D$59+IF(H3&lt;=3,Inputs!$D$60/3,0)</f>
        <v/>
      </c>
      <c r="I17" s="3">
        <f>I14*Inputs!$D$59+IF(I3&lt;=3,Inputs!$D$60/3,0)</f>
        <v/>
      </c>
      <c r="J17" s="3">
        <f>J14*Inputs!$D$59+IF(J3&lt;=3,Inputs!$D$60/3,0)</f>
        <v/>
      </c>
      <c r="K17" s="3">
        <f>K14*Inputs!$D$59+IF(K3&lt;=3,Inputs!$D$60/3,0)</f>
        <v/>
      </c>
      <c r="L17" s="3">
        <f>L14*Inputs!$D$59+IF(L3&lt;=3,Inputs!$D$60/3,0)</f>
        <v/>
      </c>
      <c r="M17" s="3">
        <f>M14*Inputs!$D$59+IF(M3&lt;=3,Inputs!$D$60/3,0)</f>
        <v/>
      </c>
      <c r="N17" s="3">
        <f>N14*Inputs!$D$59+IF(N3&lt;=3,Inputs!$D$60/3,0)</f>
        <v/>
      </c>
      <c r="O17" s="3">
        <f>O14*Inputs!$D$59+IF(O3&lt;=3,Inputs!$D$60/3,0)</f>
        <v/>
      </c>
      <c r="P17" s="3">
        <f>P14*Inputs!$D$59+IF(P3&lt;=3,Inputs!$D$60/3,0)</f>
        <v/>
      </c>
      <c r="Q17" s="3">
        <f>Q14*Inputs!$D$59+IF(Q3&lt;=3,Inputs!$D$60/3,0)</f>
        <v/>
      </c>
      <c r="R17" s="3">
        <f>R14*Inputs!$D$59+IF(R3&lt;=3,Inputs!$D$60/3,0)</f>
        <v/>
      </c>
      <c r="S17" s="3">
        <f>S14*Inputs!$D$59+IF(S3&lt;=3,Inputs!$D$60/3,0)</f>
        <v/>
      </c>
      <c r="T17" s="3">
        <f>T14*Inputs!$D$59+IF(T3&lt;=3,Inputs!$D$60/3,0)</f>
        <v/>
      </c>
      <c r="U17" s="3">
        <f>U14*Inputs!$D$59+IF(U3&lt;=3,Inputs!$D$60/3,0)</f>
        <v/>
      </c>
      <c r="V17" s="3">
        <f>V14*Inputs!$D$59+IF(V3&lt;=3,Inputs!$D$60/3,0)</f>
        <v/>
      </c>
      <c r="W17" s="3">
        <f>W14*Inputs!$D$59+IF(W3&lt;=3,Inputs!$D$60/3,0)</f>
        <v/>
      </c>
      <c r="X17" s="3">
        <f>X14*Inputs!$D$59+IF(X3&lt;=3,Inputs!$D$60/3,0)</f>
        <v/>
      </c>
      <c r="Y17" s="3">
        <f>Y14*Inputs!$D$59+IF(Y3&lt;=3,Inputs!$D$60/3,0)</f>
        <v/>
      </c>
      <c r="Z17" s="3">
        <f>Z14*Inputs!$D$59+IF(Z3&lt;=3,Inputs!$D$60/3,0)</f>
        <v/>
      </c>
      <c r="AA17" s="3">
        <f>AA14*Inputs!$D$59+IF(AA3&lt;=3,Inputs!$D$60/3,0)</f>
        <v/>
      </c>
      <c r="AB17" s="3">
        <f>AB14*Inputs!$D$59+IF(AB3&lt;=3,Inputs!$D$60/3,0)</f>
        <v/>
      </c>
      <c r="AC17" s="3">
        <f>AC14*Inputs!$D$59+IF(AC3&lt;=3,Inputs!$D$60/3,0)</f>
        <v/>
      </c>
      <c r="AD17" s="3">
        <f>AD14*Inputs!$D$59+IF(AD3&lt;=3,Inputs!$D$60/3,0)</f>
        <v/>
      </c>
      <c r="AE17" s="3">
        <f>AE14*Inputs!$D$59+IF(AE3&lt;=3,Inputs!$D$60/3,0)</f>
        <v/>
      </c>
      <c r="AF17" s="3">
        <f>AF14*Inputs!$D$59+IF(AF3&lt;=3,Inputs!$D$60/3,0)</f>
        <v/>
      </c>
      <c r="AG17" s="3">
        <f>AG14*Inputs!$D$59+IF(AG3&lt;=3,Inputs!$D$60/3,0)</f>
        <v/>
      </c>
      <c r="AH17" s="3">
        <f>AH14*Inputs!$D$59+IF(AH3&lt;=3,Inputs!$D$60/3,0)</f>
        <v/>
      </c>
      <c r="AI17" s="3">
        <f>AI14*Inputs!$D$59+IF(AI3&lt;=3,Inputs!$D$60/3,0)</f>
        <v/>
      </c>
      <c r="AJ17" s="3">
        <f>AJ14*Inputs!$D$59+IF(AJ3&lt;=3,Inputs!$D$60/3,0)</f>
        <v/>
      </c>
      <c r="AK17" s="3">
        <f>AK14*Inputs!$D$59+IF(AK3&lt;=3,Inputs!$D$60/3,0)</f>
        <v/>
      </c>
      <c r="AL17" s="3">
        <f>AL14*Inputs!$D$59+IF(AL3&lt;=3,Inputs!$D$60/3,0)</f>
        <v/>
      </c>
      <c r="AM17" s="3">
        <f>AM14*Inputs!$D$59+IF(AM3&lt;=3,Inputs!$D$60/3,0)</f>
        <v/>
      </c>
      <c r="AN17" s="3">
        <f>AN14*Inputs!$D$59+IF(AN3&lt;=3,Inputs!$D$60/3,0)</f>
        <v/>
      </c>
      <c r="AO17" s="3">
        <f>AO14*Inputs!$D$59+IF(AO3&lt;=3,Inputs!$D$60/3,0)</f>
        <v/>
      </c>
      <c r="AP17" s="3">
        <f>AP14*Inputs!$D$59+IF(AP3&lt;=3,Inputs!$D$60/3,0)</f>
        <v/>
      </c>
      <c r="AQ17" s="3">
        <f>AQ14*Inputs!$D$59+IF(AQ3&lt;=3,Inputs!$D$60/3,0)</f>
        <v/>
      </c>
      <c r="AR17" s="3">
        <f>AR14*Inputs!$D$59+IF(AR3&lt;=3,Inputs!$D$60/3,0)</f>
        <v/>
      </c>
      <c r="AS17" s="3">
        <f>AS14*Inputs!$D$59+IF(AS3&lt;=3,Inputs!$D$60/3,0)</f>
        <v/>
      </c>
      <c r="AT17" s="3">
        <f>AT14*Inputs!$D$59+IF(AT3&lt;=3,Inputs!$D$60/3,0)</f>
        <v/>
      </c>
      <c r="AU17" s="3">
        <f>AU14*Inputs!$D$59+IF(AU3&lt;=3,Inputs!$D$60/3,0)</f>
        <v/>
      </c>
      <c r="AV17" s="3">
        <f>AV14*Inputs!$D$59+IF(AV3&lt;=3,Inputs!$D$60/3,0)</f>
        <v/>
      </c>
      <c r="AW17" s="3">
        <f>AW14*Inputs!$D$59+IF(AW3&lt;=3,Inputs!$D$60/3,0)</f>
        <v/>
      </c>
      <c r="AX17" s="3">
        <f>AX14*Inputs!$D$59+IF(AX3&lt;=3,Inputs!$D$60/3,0)</f>
        <v/>
      </c>
      <c r="AY17" s="3">
        <f>AY14*Inputs!$D$59+IF(AY3&lt;=3,Inputs!$D$60/3,0)</f>
        <v/>
      </c>
      <c r="AZ17" s="3">
        <f>AZ14*Inputs!$D$59+IF(AZ3&lt;=3,Inputs!$D$60/3,0)</f>
        <v/>
      </c>
      <c r="BA17" s="3">
        <f>BA14*Inputs!$D$59+IF(BA3&lt;=3,Inputs!$D$60/3,0)</f>
        <v/>
      </c>
      <c r="BB17" s="3">
        <f>BB14*Inputs!$D$59+IF(BB3&lt;=3,Inputs!$D$60/3,0)</f>
        <v/>
      </c>
      <c r="BC17" s="3">
        <f>BC14*Inputs!$D$59+IF(BC3&lt;=3,Inputs!$D$60/3,0)</f>
        <v/>
      </c>
      <c r="BD17" s="3">
        <f>BD14*Inputs!$D$59+IF(BD3&lt;=3,Inputs!$D$60/3,0)</f>
        <v/>
      </c>
      <c r="BE17" s="3">
        <f>BE14*Inputs!$D$59+IF(BE3&lt;=3,Inputs!$D$60/3,0)</f>
        <v/>
      </c>
      <c r="BF17" s="3">
        <f>BF14*Inputs!$D$59+IF(BF3&lt;=3,Inputs!$D$60/3,0)</f>
        <v/>
      </c>
      <c r="BG17" s="3">
        <f>BG14*Inputs!$D$59+IF(BG3&lt;=3,Inputs!$D$60/3,0)</f>
        <v/>
      </c>
      <c r="BH17" s="3">
        <f>BH14*Inputs!$D$59+IF(BH3&lt;=3,Inputs!$D$60/3,0)</f>
        <v/>
      </c>
      <c r="BI17" s="3">
        <f>BI14*Inputs!$D$59+IF(BI3&lt;=3,Inputs!$D$60/3,0)</f>
        <v/>
      </c>
      <c r="BJ17" s="3">
        <f>BJ14*Inputs!$D$59+IF(BJ3&lt;=3,Inputs!$D$60/3,0)</f>
        <v/>
      </c>
    </row>
    <row r="18">
      <c r="A18" t="inlineStr">
        <is>
          <t>Repairs &amp; maintenance</t>
        </is>
      </c>
      <c r="C18" s="3">
        <f>C14*Inputs!$D$61</f>
        <v/>
      </c>
      <c r="D18" s="3">
        <f>D14*Inputs!$D$61</f>
        <v/>
      </c>
      <c r="E18" s="3">
        <f>E14*Inputs!$D$61</f>
        <v/>
      </c>
      <c r="F18" s="3">
        <f>F14*Inputs!$D$61</f>
        <v/>
      </c>
      <c r="G18" s="3">
        <f>G14*Inputs!$D$61</f>
        <v/>
      </c>
      <c r="H18" s="3">
        <f>H14*Inputs!$D$61</f>
        <v/>
      </c>
      <c r="I18" s="3">
        <f>I14*Inputs!$D$61</f>
        <v/>
      </c>
      <c r="J18" s="3">
        <f>J14*Inputs!$D$61</f>
        <v/>
      </c>
      <c r="K18" s="3">
        <f>K14*Inputs!$D$61</f>
        <v/>
      </c>
      <c r="L18" s="3">
        <f>L14*Inputs!$D$61</f>
        <v/>
      </c>
      <c r="M18" s="3">
        <f>M14*Inputs!$D$61</f>
        <v/>
      </c>
      <c r="N18" s="3">
        <f>N14*Inputs!$D$61</f>
        <v/>
      </c>
      <c r="O18" s="3">
        <f>O14*Inputs!$D$61</f>
        <v/>
      </c>
      <c r="P18" s="3">
        <f>P14*Inputs!$D$61</f>
        <v/>
      </c>
      <c r="Q18" s="3">
        <f>Q14*Inputs!$D$61</f>
        <v/>
      </c>
      <c r="R18" s="3">
        <f>R14*Inputs!$D$61</f>
        <v/>
      </c>
      <c r="S18" s="3">
        <f>S14*Inputs!$D$61</f>
        <v/>
      </c>
      <c r="T18" s="3">
        <f>T14*Inputs!$D$61</f>
        <v/>
      </c>
      <c r="U18" s="3">
        <f>U14*Inputs!$D$61</f>
        <v/>
      </c>
      <c r="V18" s="3">
        <f>V14*Inputs!$D$61</f>
        <v/>
      </c>
      <c r="W18" s="3">
        <f>W14*Inputs!$D$61</f>
        <v/>
      </c>
      <c r="X18" s="3">
        <f>X14*Inputs!$D$61</f>
        <v/>
      </c>
      <c r="Y18" s="3">
        <f>Y14*Inputs!$D$61</f>
        <v/>
      </c>
      <c r="Z18" s="3">
        <f>Z14*Inputs!$D$61</f>
        <v/>
      </c>
      <c r="AA18" s="3">
        <f>AA14*Inputs!$D$61</f>
        <v/>
      </c>
      <c r="AB18" s="3">
        <f>AB14*Inputs!$D$61</f>
        <v/>
      </c>
      <c r="AC18" s="3">
        <f>AC14*Inputs!$D$61</f>
        <v/>
      </c>
      <c r="AD18" s="3">
        <f>AD14*Inputs!$D$61</f>
        <v/>
      </c>
      <c r="AE18" s="3">
        <f>AE14*Inputs!$D$61</f>
        <v/>
      </c>
      <c r="AF18" s="3">
        <f>AF14*Inputs!$D$61</f>
        <v/>
      </c>
      <c r="AG18" s="3">
        <f>AG14*Inputs!$D$61</f>
        <v/>
      </c>
      <c r="AH18" s="3">
        <f>AH14*Inputs!$D$61</f>
        <v/>
      </c>
      <c r="AI18" s="3">
        <f>AI14*Inputs!$D$61</f>
        <v/>
      </c>
      <c r="AJ18" s="3">
        <f>AJ14*Inputs!$D$61</f>
        <v/>
      </c>
      <c r="AK18" s="3">
        <f>AK14*Inputs!$D$61</f>
        <v/>
      </c>
      <c r="AL18" s="3">
        <f>AL14*Inputs!$D$61</f>
        <v/>
      </c>
      <c r="AM18" s="3">
        <f>AM14*Inputs!$D$61</f>
        <v/>
      </c>
      <c r="AN18" s="3">
        <f>AN14*Inputs!$D$61</f>
        <v/>
      </c>
      <c r="AO18" s="3">
        <f>AO14*Inputs!$D$61</f>
        <v/>
      </c>
      <c r="AP18" s="3">
        <f>AP14*Inputs!$D$61</f>
        <v/>
      </c>
      <c r="AQ18" s="3">
        <f>AQ14*Inputs!$D$61</f>
        <v/>
      </c>
      <c r="AR18" s="3">
        <f>AR14*Inputs!$D$61</f>
        <v/>
      </c>
      <c r="AS18" s="3">
        <f>AS14*Inputs!$D$61</f>
        <v/>
      </c>
      <c r="AT18" s="3">
        <f>AT14*Inputs!$D$61</f>
        <v/>
      </c>
      <c r="AU18" s="3">
        <f>AU14*Inputs!$D$61</f>
        <v/>
      </c>
      <c r="AV18" s="3">
        <f>AV14*Inputs!$D$61</f>
        <v/>
      </c>
      <c r="AW18" s="3">
        <f>AW14*Inputs!$D$61</f>
        <v/>
      </c>
      <c r="AX18" s="3">
        <f>AX14*Inputs!$D$61</f>
        <v/>
      </c>
      <c r="AY18" s="3">
        <f>AY14*Inputs!$D$61</f>
        <v/>
      </c>
      <c r="AZ18" s="3">
        <f>AZ14*Inputs!$D$61</f>
        <v/>
      </c>
      <c r="BA18" s="3">
        <f>BA14*Inputs!$D$61</f>
        <v/>
      </c>
      <c r="BB18" s="3">
        <f>BB14*Inputs!$D$61</f>
        <v/>
      </c>
      <c r="BC18" s="3">
        <f>BC14*Inputs!$D$61</f>
        <v/>
      </c>
      <c r="BD18" s="3">
        <f>BD14*Inputs!$D$61</f>
        <v/>
      </c>
      <c r="BE18" s="3">
        <f>BE14*Inputs!$D$61</f>
        <v/>
      </c>
      <c r="BF18" s="3">
        <f>BF14*Inputs!$D$61</f>
        <v/>
      </c>
      <c r="BG18" s="3">
        <f>BG14*Inputs!$D$61</f>
        <v/>
      </c>
      <c r="BH18" s="3">
        <f>BH14*Inputs!$D$61</f>
        <v/>
      </c>
      <c r="BI18" s="3">
        <f>BI14*Inputs!$D$61</f>
        <v/>
      </c>
      <c r="BJ18" s="3">
        <f>BJ14*Inputs!$D$61</f>
        <v/>
      </c>
    </row>
    <row r="19">
      <c r="A19" t="inlineStr">
        <is>
          <t>Other variable</t>
        </is>
      </c>
      <c r="C19" s="3">
        <f>C14*Inputs!$D$62</f>
        <v/>
      </c>
      <c r="D19" s="3">
        <f>D14*Inputs!$D$62</f>
        <v/>
      </c>
      <c r="E19" s="3">
        <f>E14*Inputs!$D$62</f>
        <v/>
      </c>
      <c r="F19" s="3">
        <f>F14*Inputs!$D$62</f>
        <v/>
      </c>
      <c r="G19" s="3">
        <f>G14*Inputs!$D$62</f>
        <v/>
      </c>
      <c r="H19" s="3">
        <f>H14*Inputs!$D$62</f>
        <v/>
      </c>
      <c r="I19" s="3">
        <f>I14*Inputs!$D$62</f>
        <v/>
      </c>
      <c r="J19" s="3">
        <f>J14*Inputs!$D$62</f>
        <v/>
      </c>
      <c r="K19" s="3">
        <f>K14*Inputs!$D$62</f>
        <v/>
      </c>
      <c r="L19" s="3">
        <f>L14*Inputs!$D$62</f>
        <v/>
      </c>
      <c r="M19" s="3">
        <f>M14*Inputs!$D$62</f>
        <v/>
      </c>
      <c r="N19" s="3">
        <f>N14*Inputs!$D$62</f>
        <v/>
      </c>
      <c r="O19" s="3">
        <f>O14*Inputs!$D$62</f>
        <v/>
      </c>
      <c r="P19" s="3">
        <f>P14*Inputs!$D$62</f>
        <v/>
      </c>
      <c r="Q19" s="3">
        <f>Q14*Inputs!$D$62</f>
        <v/>
      </c>
      <c r="R19" s="3">
        <f>R14*Inputs!$D$62</f>
        <v/>
      </c>
      <c r="S19" s="3">
        <f>S14*Inputs!$D$62</f>
        <v/>
      </c>
      <c r="T19" s="3">
        <f>T14*Inputs!$D$62</f>
        <v/>
      </c>
      <c r="U19" s="3">
        <f>U14*Inputs!$D$62</f>
        <v/>
      </c>
      <c r="V19" s="3">
        <f>V14*Inputs!$D$62</f>
        <v/>
      </c>
      <c r="W19" s="3">
        <f>W14*Inputs!$D$62</f>
        <v/>
      </c>
      <c r="X19" s="3">
        <f>X14*Inputs!$D$62</f>
        <v/>
      </c>
      <c r="Y19" s="3">
        <f>Y14*Inputs!$D$62</f>
        <v/>
      </c>
      <c r="Z19" s="3">
        <f>Z14*Inputs!$D$62</f>
        <v/>
      </c>
      <c r="AA19" s="3">
        <f>AA14*Inputs!$D$62</f>
        <v/>
      </c>
      <c r="AB19" s="3">
        <f>AB14*Inputs!$D$62</f>
        <v/>
      </c>
      <c r="AC19" s="3">
        <f>AC14*Inputs!$D$62</f>
        <v/>
      </c>
      <c r="AD19" s="3">
        <f>AD14*Inputs!$D$62</f>
        <v/>
      </c>
      <c r="AE19" s="3">
        <f>AE14*Inputs!$D$62</f>
        <v/>
      </c>
      <c r="AF19" s="3">
        <f>AF14*Inputs!$D$62</f>
        <v/>
      </c>
      <c r="AG19" s="3">
        <f>AG14*Inputs!$D$62</f>
        <v/>
      </c>
      <c r="AH19" s="3">
        <f>AH14*Inputs!$D$62</f>
        <v/>
      </c>
      <c r="AI19" s="3">
        <f>AI14*Inputs!$D$62</f>
        <v/>
      </c>
      <c r="AJ19" s="3">
        <f>AJ14*Inputs!$D$62</f>
        <v/>
      </c>
      <c r="AK19" s="3">
        <f>AK14*Inputs!$D$62</f>
        <v/>
      </c>
      <c r="AL19" s="3">
        <f>AL14*Inputs!$D$62</f>
        <v/>
      </c>
      <c r="AM19" s="3">
        <f>AM14*Inputs!$D$62</f>
        <v/>
      </c>
      <c r="AN19" s="3">
        <f>AN14*Inputs!$D$62</f>
        <v/>
      </c>
      <c r="AO19" s="3">
        <f>AO14*Inputs!$D$62</f>
        <v/>
      </c>
      <c r="AP19" s="3">
        <f>AP14*Inputs!$D$62</f>
        <v/>
      </c>
      <c r="AQ19" s="3">
        <f>AQ14*Inputs!$D$62</f>
        <v/>
      </c>
      <c r="AR19" s="3">
        <f>AR14*Inputs!$D$62</f>
        <v/>
      </c>
      <c r="AS19" s="3">
        <f>AS14*Inputs!$D$62</f>
        <v/>
      </c>
      <c r="AT19" s="3">
        <f>AT14*Inputs!$D$62</f>
        <v/>
      </c>
      <c r="AU19" s="3">
        <f>AU14*Inputs!$D$62</f>
        <v/>
      </c>
      <c r="AV19" s="3">
        <f>AV14*Inputs!$D$62</f>
        <v/>
      </c>
      <c r="AW19" s="3">
        <f>AW14*Inputs!$D$62</f>
        <v/>
      </c>
      <c r="AX19" s="3">
        <f>AX14*Inputs!$D$62</f>
        <v/>
      </c>
      <c r="AY19" s="3">
        <f>AY14*Inputs!$D$62</f>
        <v/>
      </c>
      <c r="AZ19" s="3">
        <f>AZ14*Inputs!$D$62</f>
        <v/>
      </c>
      <c r="BA19" s="3">
        <f>BA14*Inputs!$D$62</f>
        <v/>
      </c>
      <c r="BB19" s="3">
        <f>BB14*Inputs!$D$62</f>
        <v/>
      </c>
      <c r="BC19" s="3">
        <f>BC14*Inputs!$D$62</f>
        <v/>
      </c>
      <c r="BD19" s="3">
        <f>BD14*Inputs!$D$62</f>
        <v/>
      </c>
      <c r="BE19" s="3">
        <f>BE14*Inputs!$D$62</f>
        <v/>
      </c>
      <c r="BF19" s="3">
        <f>BF14*Inputs!$D$62</f>
        <v/>
      </c>
      <c r="BG19" s="3">
        <f>BG14*Inputs!$D$62</f>
        <v/>
      </c>
      <c r="BH19" s="3">
        <f>BH14*Inputs!$D$62</f>
        <v/>
      </c>
      <c r="BI19" s="3">
        <f>BI14*Inputs!$D$62</f>
        <v/>
      </c>
      <c r="BJ19" s="3">
        <f>BJ14*Inputs!$D$62</f>
        <v/>
      </c>
    </row>
    <row r="20">
      <c r="A20" t="inlineStr">
        <is>
          <t>Utilities</t>
        </is>
      </c>
      <c r="C20" s="3">
        <f>INDEX(Inputs!$D$80:$F$80,1,Inputs!$E$13)*(1+Inputs!$D$70)^(C4-1)+C14*Inputs!$D$63</f>
        <v/>
      </c>
      <c r="D20" s="3">
        <f>INDEX(Inputs!$D$80:$F$80,1,Inputs!$E$13)*(1+Inputs!$D$70)^(D4-1)+D14*Inputs!$D$63</f>
        <v/>
      </c>
      <c r="E20" s="3">
        <f>INDEX(Inputs!$D$80:$F$80,1,Inputs!$E$13)*(1+Inputs!$D$70)^(E4-1)+E14*Inputs!$D$63</f>
        <v/>
      </c>
      <c r="F20" s="3">
        <f>INDEX(Inputs!$D$80:$F$80,1,Inputs!$E$13)*(1+Inputs!$D$70)^(F4-1)+F14*Inputs!$D$63</f>
        <v/>
      </c>
      <c r="G20" s="3">
        <f>INDEX(Inputs!$D$80:$F$80,1,Inputs!$E$13)*(1+Inputs!$D$70)^(G4-1)+G14*Inputs!$D$63</f>
        <v/>
      </c>
      <c r="H20" s="3">
        <f>INDEX(Inputs!$D$80:$F$80,1,Inputs!$E$13)*(1+Inputs!$D$70)^(H4-1)+H14*Inputs!$D$63</f>
        <v/>
      </c>
      <c r="I20" s="3">
        <f>INDEX(Inputs!$D$80:$F$80,1,Inputs!$E$13)*(1+Inputs!$D$70)^(I4-1)+I14*Inputs!$D$63</f>
        <v/>
      </c>
      <c r="J20" s="3">
        <f>INDEX(Inputs!$D$80:$F$80,1,Inputs!$E$13)*(1+Inputs!$D$70)^(J4-1)+J14*Inputs!$D$63</f>
        <v/>
      </c>
      <c r="K20" s="3">
        <f>INDEX(Inputs!$D$80:$F$80,1,Inputs!$E$13)*(1+Inputs!$D$70)^(K4-1)+K14*Inputs!$D$63</f>
        <v/>
      </c>
      <c r="L20" s="3">
        <f>INDEX(Inputs!$D$80:$F$80,1,Inputs!$E$13)*(1+Inputs!$D$70)^(L4-1)+L14*Inputs!$D$63</f>
        <v/>
      </c>
      <c r="M20" s="3">
        <f>INDEX(Inputs!$D$80:$F$80,1,Inputs!$E$13)*(1+Inputs!$D$70)^(M4-1)+M14*Inputs!$D$63</f>
        <v/>
      </c>
      <c r="N20" s="3">
        <f>INDEX(Inputs!$D$80:$F$80,1,Inputs!$E$13)*(1+Inputs!$D$70)^(N4-1)+N14*Inputs!$D$63</f>
        <v/>
      </c>
      <c r="O20" s="3">
        <f>INDEX(Inputs!$D$80:$F$80,1,Inputs!$E$13)*(1+Inputs!$D$70)^(O4-1)+O14*Inputs!$D$63</f>
        <v/>
      </c>
      <c r="P20" s="3">
        <f>INDEX(Inputs!$D$80:$F$80,1,Inputs!$E$13)*(1+Inputs!$D$70)^(P4-1)+P14*Inputs!$D$63</f>
        <v/>
      </c>
      <c r="Q20" s="3">
        <f>INDEX(Inputs!$D$80:$F$80,1,Inputs!$E$13)*(1+Inputs!$D$70)^(Q4-1)+Q14*Inputs!$D$63</f>
        <v/>
      </c>
      <c r="R20" s="3">
        <f>INDEX(Inputs!$D$80:$F$80,1,Inputs!$E$13)*(1+Inputs!$D$70)^(R4-1)+R14*Inputs!$D$63</f>
        <v/>
      </c>
      <c r="S20" s="3">
        <f>INDEX(Inputs!$D$80:$F$80,1,Inputs!$E$13)*(1+Inputs!$D$70)^(S4-1)+S14*Inputs!$D$63</f>
        <v/>
      </c>
      <c r="T20" s="3">
        <f>INDEX(Inputs!$D$80:$F$80,1,Inputs!$E$13)*(1+Inputs!$D$70)^(T4-1)+T14*Inputs!$D$63</f>
        <v/>
      </c>
      <c r="U20" s="3">
        <f>INDEX(Inputs!$D$80:$F$80,1,Inputs!$E$13)*(1+Inputs!$D$70)^(U4-1)+U14*Inputs!$D$63</f>
        <v/>
      </c>
      <c r="V20" s="3">
        <f>INDEX(Inputs!$D$80:$F$80,1,Inputs!$E$13)*(1+Inputs!$D$70)^(V4-1)+V14*Inputs!$D$63</f>
        <v/>
      </c>
      <c r="W20" s="3">
        <f>INDEX(Inputs!$D$80:$F$80,1,Inputs!$E$13)*(1+Inputs!$D$70)^(W4-1)+W14*Inputs!$D$63</f>
        <v/>
      </c>
      <c r="X20" s="3">
        <f>INDEX(Inputs!$D$80:$F$80,1,Inputs!$E$13)*(1+Inputs!$D$70)^(X4-1)+X14*Inputs!$D$63</f>
        <v/>
      </c>
      <c r="Y20" s="3">
        <f>INDEX(Inputs!$D$80:$F$80,1,Inputs!$E$13)*(1+Inputs!$D$70)^(Y4-1)+Y14*Inputs!$D$63</f>
        <v/>
      </c>
      <c r="Z20" s="3">
        <f>INDEX(Inputs!$D$80:$F$80,1,Inputs!$E$13)*(1+Inputs!$D$70)^(Z4-1)+Z14*Inputs!$D$63</f>
        <v/>
      </c>
      <c r="AA20" s="3">
        <f>INDEX(Inputs!$D$80:$F$80,1,Inputs!$E$13)*(1+Inputs!$D$70)^(AA4-1)+AA14*Inputs!$D$63</f>
        <v/>
      </c>
      <c r="AB20" s="3">
        <f>INDEX(Inputs!$D$80:$F$80,1,Inputs!$E$13)*(1+Inputs!$D$70)^(AB4-1)+AB14*Inputs!$D$63</f>
        <v/>
      </c>
      <c r="AC20" s="3">
        <f>INDEX(Inputs!$D$80:$F$80,1,Inputs!$E$13)*(1+Inputs!$D$70)^(AC4-1)+AC14*Inputs!$D$63</f>
        <v/>
      </c>
      <c r="AD20" s="3">
        <f>INDEX(Inputs!$D$80:$F$80,1,Inputs!$E$13)*(1+Inputs!$D$70)^(AD4-1)+AD14*Inputs!$D$63</f>
        <v/>
      </c>
      <c r="AE20" s="3">
        <f>INDEX(Inputs!$D$80:$F$80,1,Inputs!$E$13)*(1+Inputs!$D$70)^(AE4-1)+AE14*Inputs!$D$63</f>
        <v/>
      </c>
      <c r="AF20" s="3">
        <f>INDEX(Inputs!$D$80:$F$80,1,Inputs!$E$13)*(1+Inputs!$D$70)^(AF4-1)+AF14*Inputs!$D$63</f>
        <v/>
      </c>
      <c r="AG20" s="3">
        <f>INDEX(Inputs!$D$80:$F$80,1,Inputs!$E$13)*(1+Inputs!$D$70)^(AG4-1)+AG14*Inputs!$D$63</f>
        <v/>
      </c>
      <c r="AH20" s="3">
        <f>INDEX(Inputs!$D$80:$F$80,1,Inputs!$E$13)*(1+Inputs!$D$70)^(AH4-1)+AH14*Inputs!$D$63</f>
        <v/>
      </c>
      <c r="AI20" s="3">
        <f>INDEX(Inputs!$D$80:$F$80,1,Inputs!$E$13)*(1+Inputs!$D$70)^(AI4-1)+AI14*Inputs!$D$63</f>
        <v/>
      </c>
      <c r="AJ20" s="3">
        <f>INDEX(Inputs!$D$80:$F$80,1,Inputs!$E$13)*(1+Inputs!$D$70)^(AJ4-1)+AJ14*Inputs!$D$63</f>
        <v/>
      </c>
      <c r="AK20" s="3">
        <f>INDEX(Inputs!$D$80:$F$80,1,Inputs!$E$13)*(1+Inputs!$D$70)^(AK4-1)+AK14*Inputs!$D$63</f>
        <v/>
      </c>
      <c r="AL20" s="3">
        <f>INDEX(Inputs!$D$80:$F$80,1,Inputs!$E$13)*(1+Inputs!$D$70)^(AL4-1)+AL14*Inputs!$D$63</f>
        <v/>
      </c>
      <c r="AM20" s="3">
        <f>INDEX(Inputs!$D$80:$F$80,1,Inputs!$E$13)*(1+Inputs!$D$70)^(AM4-1)+AM14*Inputs!$D$63</f>
        <v/>
      </c>
      <c r="AN20" s="3">
        <f>INDEX(Inputs!$D$80:$F$80,1,Inputs!$E$13)*(1+Inputs!$D$70)^(AN4-1)+AN14*Inputs!$D$63</f>
        <v/>
      </c>
      <c r="AO20" s="3">
        <f>INDEX(Inputs!$D$80:$F$80,1,Inputs!$E$13)*(1+Inputs!$D$70)^(AO4-1)+AO14*Inputs!$D$63</f>
        <v/>
      </c>
      <c r="AP20" s="3">
        <f>INDEX(Inputs!$D$80:$F$80,1,Inputs!$E$13)*(1+Inputs!$D$70)^(AP4-1)+AP14*Inputs!$D$63</f>
        <v/>
      </c>
      <c r="AQ20" s="3">
        <f>INDEX(Inputs!$D$80:$F$80,1,Inputs!$E$13)*(1+Inputs!$D$70)^(AQ4-1)+AQ14*Inputs!$D$63</f>
        <v/>
      </c>
      <c r="AR20" s="3">
        <f>INDEX(Inputs!$D$80:$F$80,1,Inputs!$E$13)*(1+Inputs!$D$70)^(AR4-1)+AR14*Inputs!$D$63</f>
        <v/>
      </c>
      <c r="AS20" s="3">
        <f>INDEX(Inputs!$D$80:$F$80,1,Inputs!$E$13)*(1+Inputs!$D$70)^(AS4-1)+AS14*Inputs!$D$63</f>
        <v/>
      </c>
      <c r="AT20" s="3">
        <f>INDEX(Inputs!$D$80:$F$80,1,Inputs!$E$13)*(1+Inputs!$D$70)^(AT4-1)+AT14*Inputs!$D$63</f>
        <v/>
      </c>
      <c r="AU20" s="3">
        <f>INDEX(Inputs!$D$80:$F$80,1,Inputs!$E$13)*(1+Inputs!$D$70)^(AU4-1)+AU14*Inputs!$D$63</f>
        <v/>
      </c>
      <c r="AV20" s="3">
        <f>INDEX(Inputs!$D$80:$F$80,1,Inputs!$E$13)*(1+Inputs!$D$70)^(AV4-1)+AV14*Inputs!$D$63</f>
        <v/>
      </c>
      <c r="AW20" s="3">
        <f>INDEX(Inputs!$D$80:$F$80,1,Inputs!$E$13)*(1+Inputs!$D$70)^(AW4-1)+AW14*Inputs!$D$63</f>
        <v/>
      </c>
      <c r="AX20" s="3">
        <f>INDEX(Inputs!$D$80:$F$80,1,Inputs!$E$13)*(1+Inputs!$D$70)^(AX4-1)+AX14*Inputs!$D$63</f>
        <v/>
      </c>
      <c r="AY20" s="3">
        <f>INDEX(Inputs!$D$80:$F$80,1,Inputs!$E$13)*(1+Inputs!$D$70)^(AY4-1)+AY14*Inputs!$D$63</f>
        <v/>
      </c>
      <c r="AZ20" s="3">
        <f>INDEX(Inputs!$D$80:$F$80,1,Inputs!$E$13)*(1+Inputs!$D$70)^(AZ4-1)+AZ14*Inputs!$D$63</f>
        <v/>
      </c>
      <c r="BA20" s="3">
        <f>INDEX(Inputs!$D$80:$F$80,1,Inputs!$E$13)*(1+Inputs!$D$70)^(BA4-1)+BA14*Inputs!$D$63</f>
        <v/>
      </c>
      <c r="BB20" s="3">
        <f>INDEX(Inputs!$D$80:$F$80,1,Inputs!$E$13)*(1+Inputs!$D$70)^(BB4-1)+BB14*Inputs!$D$63</f>
        <v/>
      </c>
      <c r="BC20" s="3">
        <f>INDEX(Inputs!$D$80:$F$80,1,Inputs!$E$13)*(1+Inputs!$D$70)^(BC4-1)+BC14*Inputs!$D$63</f>
        <v/>
      </c>
      <c r="BD20" s="3">
        <f>INDEX(Inputs!$D$80:$F$80,1,Inputs!$E$13)*(1+Inputs!$D$70)^(BD4-1)+BD14*Inputs!$D$63</f>
        <v/>
      </c>
      <c r="BE20" s="3">
        <f>INDEX(Inputs!$D$80:$F$80,1,Inputs!$E$13)*(1+Inputs!$D$70)^(BE4-1)+BE14*Inputs!$D$63</f>
        <v/>
      </c>
      <c r="BF20" s="3">
        <f>INDEX(Inputs!$D$80:$F$80,1,Inputs!$E$13)*(1+Inputs!$D$70)^(BF4-1)+BF14*Inputs!$D$63</f>
        <v/>
      </c>
      <c r="BG20" s="3">
        <f>INDEX(Inputs!$D$80:$F$80,1,Inputs!$E$13)*(1+Inputs!$D$70)^(BG4-1)+BG14*Inputs!$D$63</f>
        <v/>
      </c>
      <c r="BH20" s="3">
        <f>INDEX(Inputs!$D$80:$F$80,1,Inputs!$E$13)*(1+Inputs!$D$70)^(BH4-1)+BH14*Inputs!$D$63</f>
        <v/>
      </c>
      <c r="BI20" s="3">
        <f>INDEX(Inputs!$D$80:$F$80,1,Inputs!$E$13)*(1+Inputs!$D$70)^(BI4-1)+BI14*Inputs!$D$63</f>
        <v/>
      </c>
      <c r="BJ20" s="3">
        <f>INDEX(Inputs!$D$80:$F$80,1,Inputs!$E$13)*(1+Inputs!$D$70)^(BJ4-1)+BJ14*Inputs!$D$63</f>
        <v/>
      </c>
    </row>
    <row r="21">
      <c r="A21" t="inlineStr">
        <is>
          <t>Peak-season flag</t>
        </is>
      </c>
      <c r="C21" s="7">
        <f>IF(C7&gt;=Inputs!$D$69,1,0)</f>
        <v/>
      </c>
      <c r="D21" s="7">
        <f>IF(D7&gt;=Inputs!$D$69,1,0)</f>
        <v/>
      </c>
      <c r="E21" s="7">
        <f>IF(E7&gt;=Inputs!$D$69,1,0)</f>
        <v/>
      </c>
      <c r="F21" s="7">
        <f>IF(F7&gt;=Inputs!$D$69,1,0)</f>
        <v/>
      </c>
      <c r="G21" s="7">
        <f>IF(G7&gt;=Inputs!$D$69,1,0)</f>
        <v/>
      </c>
      <c r="H21" s="7">
        <f>IF(H7&gt;=Inputs!$D$69,1,0)</f>
        <v/>
      </c>
      <c r="I21" s="7">
        <f>IF(I7&gt;=Inputs!$D$69,1,0)</f>
        <v/>
      </c>
      <c r="J21" s="7">
        <f>IF(J7&gt;=Inputs!$D$69,1,0)</f>
        <v/>
      </c>
      <c r="K21" s="7">
        <f>IF(K7&gt;=Inputs!$D$69,1,0)</f>
        <v/>
      </c>
      <c r="L21" s="7">
        <f>IF(L7&gt;=Inputs!$D$69,1,0)</f>
        <v/>
      </c>
      <c r="M21" s="7">
        <f>IF(M7&gt;=Inputs!$D$69,1,0)</f>
        <v/>
      </c>
      <c r="N21" s="7">
        <f>IF(N7&gt;=Inputs!$D$69,1,0)</f>
        <v/>
      </c>
      <c r="O21" s="7">
        <f>IF(O7&gt;=Inputs!$D$69,1,0)</f>
        <v/>
      </c>
      <c r="P21" s="7">
        <f>IF(P7&gt;=Inputs!$D$69,1,0)</f>
        <v/>
      </c>
      <c r="Q21" s="7">
        <f>IF(Q7&gt;=Inputs!$D$69,1,0)</f>
        <v/>
      </c>
      <c r="R21" s="7">
        <f>IF(R7&gt;=Inputs!$D$69,1,0)</f>
        <v/>
      </c>
      <c r="S21" s="7">
        <f>IF(S7&gt;=Inputs!$D$69,1,0)</f>
        <v/>
      </c>
      <c r="T21" s="7">
        <f>IF(T7&gt;=Inputs!$D$69,1,0)</f>
        <v/>
      </c>
      <c r="U21" s="7">
        <f>IF(U7&gt;=Inputs!$D$69,1,0)</f>
        <v/>
      </c>
      <c r="V21" s="7">
        <f>IF(V7&gt;=Inputs!$D$69,1,0)</f>
        <v/>
      </c>
      <c r="W21" s="7">
        <f>IF(W7&gt;=Inputs!$D$69,1,0)</f>
        <v/>
      </c>
      <c r="X21" s="7">
        <f>IF(X7&gt;=Inputs!$D$69,1,0)</f>
        <v/>
      </c>
      <c r="Y21" s="7">
        <f>IF(Y7&gt;=Inputs!$D$69,1,0)</f>
        <v/>
      </c>
      <c r="Z21" s="7">
        <f>IF(Z7&gt;=Inputs!$D$69,1,0)</f>
        <v/>
      </c>
      <c r="AA21" s="7">
        <f>IF(AA7&gt;=Inputs!$D$69,1,0)</f>
        <v/>
      </c>
      <c r="AB21" s="7">
        <f>IF(AB7&gt;=Inputs!$D$69,1,0)</f>
        <v/>
      </c>
      <c r="AC21" s="7">
        <f>IF(AC7&gt;=Inputs!$D$69,1,0)</f>
        <v/>
      </c>
      <c r="AD21" s="7">
        <f>IF(AD7&gt;=Inputs!$D$69,1,0)</f>
        <v/>
      </c>
      <c r="AE21" s="7">
        <f>IF(AE7&gt;=Inputs!$D$69,1,0)</f>
        <v/>
      </c>
      <c r="AF21" s="7">
        <f>IF(AF7&gt;=Inputs!$D$69,1,0)</f>
        <v/>
      </c>
      <c r="AG21" s="7">
        <f>IF(AG7&gt;=Inputs!$D$69,1,0)</f>
        <v/>
      </c>
      <c r="AH21" s="7">
        <f>IF(AH7&gt;=Inputs!$D$69,1,0)</f>
        <v/>
      </c>
      <c r="AI21" s="7">
        <f>IF(AI7&gt;=Inputs!$D$69,1,0)</f>
        <v/>
      </c>
      <c r="AJ21" s="7">
        <f>IF(AJ7&gt;=Inputs!$D$69,1,0)</f>
        <v/>
      </c>
      <c r="AK21" s="7">
        <f>IF(AK7&gt;=Inputs!$D$69,1,0)</f>
        <v/>
      </c>
      <c r="AL21" s="7">
        <f>IF(AL7&gt;=Inputs!$D$69,1,0)</f>
        <v/>
      </c>
      <c r="AM21" s="7">
        <f>IF(AM7&gt;=Inputs!$D$69,1,0)</f>
        <v/>
      </c>
      <c r="AN21" s="7">
        <f>IF(AN7&gt;=Inputs!$D$69,1,0)</f>
        <v/>
      </c>
      <c r="AO21" s="7">
        <f>IF(AO7&gt;=Inputs!$D$69,1,0)</f>
        <v/>
      </c>
      <c r="AP21" s="7">
        <f>IF(AP7&gt;=Inputs!$D$69,1,0)</f>
        <v/>
      </c>
      <c r="AQ21" s="7">
        <f>IF(AQ7&gt;=Inputs!$D$69,1,0)</f>
        <v/>
      </c>
      <c r="AR21" s="7">
        <f>IF(AR7&gt;=Inputs!$D$69,1,0)</f>
        <v/>
      </c>
      <c r="AS21" s="7">
        <f>IF(AS7&gt;=Inputs!$D$69,1,0)</f>
        <v/>
      </c>
      <c r="AT21" s="7">
        <f>IF(AT7&gt;=Inputs!$D$69,1,0)</f>
        <v/>
      </c>
      <c r="AU21" s="7">
        <f>IF(AU7&gt;=Inputs!$D$69,1,0)</f>
        <v/>
      </c>
      <c r="AV21" s="7">
        <f>IF(AV7&gt;=Inputs!$D$69,1,0)</f>
        <v/>
      </c>
      <c r="AW21" s="7">
        <f>IF(AW7&gt;=Inputs!$D$69,1,0)</f>
        <v/>
      </c>
      <c r="AX21" s="7">
        <f>IF(AX7&gt;=Inputs!$D$69,1,0)</f>
        <v/>
      </c>
      <c r="AY21" s="7">
        <f>IF(AY7&gt;=Inputs!$D$69,1,0)</f>
        <v/>
      </c>
      <c r="AZ21" s="7">
        <f>IF(AZ7&gt;=Inputs!$D$69,1,0)</f>
        <v/>
      </c>
      <c r="BA21" s="7">
        <f>IF(BA7&gt;=Inputs!$D$69,1,0)</f>
        <v/>
      </c>
      <c r="BB21" s="7">
        <f>IF(BB7&gt;=Inputs!$D$69,1,0)</f>
        <v/>
      </c>
      <c r="BC21" s="7">
        <f>IF(BC7&gt;=Inputs!$D$69,1,0)</f>
        <v/>
      </c>
      <c r="BD21" s="7">
        <f>IF(BD7&gt;=Inputs!$D$69,1,0)</f>
        <v/>
      </c>
      <c r="BE21" s="7">
        <f>IF(BE7&gt;=Inputs!$D$69,1,0)</f>
        <v/>
      </c>
      <c r="BF21" s="7">
        <f>IF(BF7&gt;=Inputs!$D$69,1,0)</f>
        <v/>
      </c>
      <c r="BG21" s="7">
        <f>IF(BG7&gt;=Inputs!$D$69,1,0)</f>
        <v/>
      </c>
      <c r="BH21" s="7">
        <f>IF(BH7&gt;=Inputs!$D$69,1,0)</f>
        <v/>
      </c>
      <c r="BI21" s="7">
        <f>IF(BI7&gt;=Inputs!$D$69,1,0)</f>
        <v/>
      </c>
      <c r="BJ21" s="7">
        <f>IF(BJ7&gt;=Inputs!$D$69,1,0)</f>
        <v/>
      </c>
    </row>
    <row r="22">
      <c r="A22" t="inlineStr">
        <is>
          <t>FTE</t>
        </is>
      </c>
      <c r="C22" s="24">
        <f>INDEX(Inputs!$D$76:$F$76,1,Inputs!$E$13)+C21*INDEX(Inputs!$D$77:$F$77,1,Inputs!$E$13)</f>
        <v/>
      </c>
      <c r="D22" s="24">
        <f>INDEX(Inputs!$D$76:$F$76,1,Inputs!$E$13)+D21*INDEX(Inputs!$D$77:$F$77,1,Inputs!$E$13)</f>
        <v/>
      </c>
      <c r="E22" s="24">
        <f>INDEX(Inputs!$D$76:$F$76,1,Inputs!$E$13)+E21*INDEX(Inputs!$D$77:$F$77,1,Inputs!$E$13)</f>
        <v/>
      </c>
      <c r="F22" s="24">
        <f>INDEX(Inputs!$D$76:$F$76,1,Inputs!$E$13)+F21*INDEX(Inputs!$D$77:$F$77,1,Inputs!$E$13)</f>
        <v/>
      </c>
      <c r="G22" s="24">
        <f>INDEX(Inputs!$D$76:$F$76,1,Inputs!$E$13)+G21*INDEX(Inputs!$D$77:$F$77,1,Inputs!$E$13)</f>
        <v/>
      </c>
      <c r="H22" s="24">
        <f>INDEX(Inputs!$D$76:$F$76,1,Inputs!$E$13)+H21*INDEX(Inputs!$D$77:$F$77,1,Inputs!$E$13)</f>
        <v/>
      </c>
      <c r="I22" s="24">
        <f>INDEX(Inputs!$D$76:$F$76,1,Inputs!$E$13)+I21*INDEX(Inputs!$D$77:$F$77,1,Inputs!$E$13)</f>
        <v/>
      </c>
      <c r="J22" s="24">
        <f>INDEX(Inputs!$D$76:$F$76,1,Inputs!$E$13)+J21*INDEX(Inputs!$D$77:$F$77,1,Inputs!$E$13)</f>
        <v/>
      </c>
      <c r="K22" s="24">
        <f>INDEX(Inputs!$D$76:$F$76,1,Inputs!$E$13)+K21*INDEX(Inputs!$D$77:$F$77,1,Inputs!$E$13)</f>
        <v/>
      </c>
      <c r="L22" s="24">
        <f>INDEX(Inputs!$D$76:$F$76,1,Inputs!$E$13)+L21*INDEX(Inputs!$D$77:$F$77,1,Inputs!$E$13)</f>
        <v/>
      </c>
      <c r="M22" s="24">
        <f>INDEX(Inputs!$D$76:$F$76,1,Inputs!$E$13)+M21*INDEX(Inputs!$D$77:$F$77,1,Inputs!$E$13)</f>
        <v/>
      </c>
      <c r="N22" s="24">
        <f>INDEX(Inputs!$D$76:$F$76,1,Inputs!$E$13)+N21*INDEX(Inputs!$D$77:$F$77,1,Inputs!$E$13)</f>
        <v/>
      </c>
      <c r="O22" s="24">
        <f>INDEX(Inputs!$D$76:$F$76,1,Inputs!$E$13)+O21*INDEX(Inputs!$D$77:$F$77,1,Inputs!$E$13)</f>
        <v/>
      </c>
      <c r="P22" s="24">
        <f>INDEX(Inputs!$D$76:$F$76,1,Inputs!$E$13)+P21*INDEX(Inputs!$D$77:$F$77,1,Inputs!$E$13)</f>
        <v/>
      </c>
      <c r="Q22" s="24">
        <f>INDEX(Inputs!$D$76:$F$76,1,Inputs!$E$13)+Q21*INDEX(Inputs!$D$77:$F$77,1,Inputs!$E$13)</f>
        <v/>
      </c>
      <c r="R22" s="24">
        <f>INDEX(Inputs!$D$76:$F$76,1,Inputs!$E$13)+R21*INDEX(Inputs!$D$77:$F$77,1,Inputs!$E$13)</f>
        <v/>
      </c>
      <c r="S22" s="24">
        <f>INDEX(Inputs!$D$76:$F$76,1,Inputs!$E$13)+S21*INDEX(Inputs!$D$77:$F$77,1,Inputs!$E$13)</f>
        <v/>
      </c>
      <c r="T22" s="24">
        <f>INDEX(Inputs!$D$76:$F$76,1,Inputs!$E$13)+T21*INDEX(Inputs!$D$77:$F$77,1,Inputs!$E$13)</f>
        <v/>
      </c>
      <c r="U22" s="24">
        <f>INDEX(Inputs!$D$76:$F$76,1,Inputs!$E$13)+U21*INDEX(Inputs!$D$77:$F$77,1,Inputs!$E$13)</f>
        <v/>
      </c>
      <c r="V22" s="24">
        <f>INDEX(Inputs!$D$76:$F$76,1,Inputs!$E$13)+V21*INDEX(Inputs!$D$77:$F$77,1,Inputs!$E$13)</f>
        <v/>
      </c>
      <c r="W22" s="24">
        <f>INDEX(Inputs!$D$76:$F$76,1,Inputs!$E$13)+W21*INDEX(Inputs!$D$77:$F$77,1,Inputs!$E$13)</f>
        <v/>
      </c>
      <c r="X22" s="24">
        <f>INDEX(Inputs!$D$76:$F$76,1,Inputs!$E$13)+X21*INDEX(Inputs!$D$77:$F$77,1,Inputs!$E$13)</f>
        <v/>
      </c>
      <c r="Y22" s="24">
        <f>INDEX(Inputs!$D$76:$F$76,1,Inputs!$E$13)+Y21*INDEX(Inputs!$D$77:$F$77,1,Inputs!$E$13)</f>
        <v/>
      </c>
      <c r="Z22" s="24">
        <f>INDEX(Inputs!$D$76:$F$76,1,Inputs!$E$13)+Z21*INDEX(Inputs!$D$77:$F$77,1,Inputs!$E$13)</f>
        <v/>
      </c>
      <c r="AA22" s="24">
        <f>INDEX(Inputs!$D$76:$F$76,1,Inputs!$E$13)+AA21*INDEX(Inputs!$D$77:$F$77,1,Inputs!$E$13)</f>
        <v/>
      </c>
      <c r="AB22" s="24">
        <f>INDEX(Inputs!$D$76:$F$76,1,Inputs!$E$13)+AB21*INDEX(Inputs!$D$77:$F$77,1,Inputs!$E$13)</f>
        <v/>
      </c>
      <c r="AC22" s="24">
        <f>INDEX(Inputs!$D$76:$F$76,1,Inputs!$E$13)+AC21*INDEX(Inputs!$D$77:$F$77,1,Inputs!$E$13)</f>
        <v/>
      </c>
      <c r="AD22" s="24">
        <f>INDEX(Inputs!$D$76:$F$76,1,Inputs!$E$13)+AD21*INDEX(Inputs!$D$77:$F$77,1,Inputs!$E$13)</f>
        <v/>
      </c>
      <c r="AE22" s="24">
        <f>INDEX(Inputs!$D$76:$F$76,1,Inputs!$E$13)+AE21*INDEX(Inputs!$D$77:$F$77,1,Inputs!$E$13)</f>
        <v/>
      </c>
      <c r="AF22" s="24">
        <f>INDEX(Inputs!$D$76:$F$76,1,Inputs!$E$13)+AF21*INDEX(Inputs!$D$77:$F$77,1,Inputs!$E$13)</f>
        <v/>
      </c>
      <c r="AG22" s="24">
        <f>INDEX(Inputs!$D$76:$F$76,1,Inputs!$E$13)+AG21*INDEX(Inputs!$D$77:$F$77,1,Inputs!$E$13)</f>
        <v/>
      </c>
      <c r="AH22" s="24">
        <f>INDEX(Inputs!$D$76:$F$76,1,Inputs!$E$13)+AH21*INDEX(Inputs!$D$77:$F$77,1,Inputs!$E$13)</f>
        <v/>
      </c>
      <c r="AI22" s="24">
        <f>INDEX(Inputs!$D$76:$F$76,1,Inputs!$E$13)+AI21*INDEX(Inputs!$D$77:$F$77,1,Inputs!$E$13)</f>
        <v/>
      </c>
      <c r="AJ22" s="24">
        <f>INDEX(Inputs!$D$76:$F$76,1,Inputs!$E$13)+AJ21*INDEX(Inputs!$D$77:$F$77,1,Inputs!$E$13)</f>
        <v/>
      </c>
      <c r="AK22" s="24">
        <f>INDEX(Inputs!$D$76:$F$76,1,Inputs!$E$13)+AK21*INDEX(Inputs!$D$77:$F$77,1,Inputs!$E$13)</f>
        <v/>
      </c>
      <c r="AL22" s="24">
        <f>INDEX(Inputs!$D$76:$F$76,1,Inputs!$E$13)+AL21*INDEX(Inputs!$D$77:$F$77,1,Inputs!$E$13)</f>
        <v/>
      </c>
      <c r="AM22" s="24">
        <f>INDEX(Inputs!$D$76:$F$76,1,Inputs!$E$13)+AM21*INDEX(Inputs!$D$77:$F$77,1,Inputs!$E$13)</f>
        <v/>
      </c>
      <c r="AN22" s="24">
        <f>INDEX(Inputs!$D$76:$F$76,1,Inputs!$E$13)+AN21*INDEX(Inputs!$D$77:$F$77,1,Inputs!$E$13)</f>
        <v/>
      </c>
      <c r="AO22" s="24">
        <f>INDEX(Inputs!$D$76:$F$76,1,Inputs!$E$13)+AO21*INDEX(Inputs!$D$77:$F$77,1,Inputs!$E$13)</f>
        <v/>
      </c>
      <c r="AP22" s="24">
        <f>INDEX(Inputs!$D$76:$F$76,1,Inputs!$E$13)+AP21*INDEX(Inputs!$D$77:$F$77,1,Inputs!$E$13)</f>
        <v/>
      </c>
      <c r="AQ22" s="24">
        <f>INDEX(Inputs!$D$76:$F$76,1,Inputs!$E$13)+AQ21*INDEX(Inputs!$D$77:$F$77,1,Inputs!$E$13)</f>
        <v/>
      </c>
      <c r="AR22" s="24">
        <f>INDEX(Inputs!$D$76:$F$76,1,Inputs!$E$13)+AR21*INDEX(Inputs!$D$77:$F$77,1,Inputs!$E$13)</f>
        <v/>
      </c>
      <c r="AS22" s="24">
        <f>INDEX(Inputs!$D$76:$F$76,1,Inputs!$E$13)+AS21*INDEX(Inputs!$D$77:$F$77,1,Inputs!$E$13)</f>
        <v/>
      </c>
      <c r="AT22" s="24">
        <f>INDEX(Inputs!$D$76:$F$76,1,Inputs!$E$13)+AT21*INDEX(Inputs!$D$77:$F$77,1,Inputs!$E$13)</f>
        <v/>
      </c>
      <c r="AU22" s="24">
        <f>INDEX(Inputs!$D$76:$F$76,1,Inputs!$E$13)+AU21*INDEX(Inputs!$D$77:$F$77,1,Inputs!$E$13)</f>
        <v/>
      </c>
      <c r="AV22" s="24">
        <f>INDEX(Inputs!$D$76:$F$76,1,Inputs!$E$13)+AV21*INDEX(Inputs!$D$77:$F$77,1,Inputs!$E$13)</f>
        <v/>
      </c>
      <c r="AW22" s="24">
        <f>INDEX(Inputs!$D$76:$F$76,1,Inputs!$E$13)+AW21*INDEX(Inputs!$D$77:$F$77,1,Inputs!$E$13)</f>
        <v/>
      </c>
      <c r="AX22" s="24">
        <f>INDEX(Inputs!$D$76:$F$76,1,Inputs!$E$13)+AX21*INDEX(Inputs!$D$77:$F$77,1,Inputs!$E$13)</f>
        <v/>
      </c>
      <c r="AY22" s="24">
        <f>INDEX(Inputs!$D$76:$F$76,1,Inputs!$E$13)+AY21*INDEX(Inputs!$D$77:$F$77,1,Inputs!$E$13)</f>
        <v/>
      </c>
      <c r="AZ22" s="24">
        <f>INDEX(Inputs!$D$76:$F$76,1,Inputs!$E$13)+AZ21*INDEX(Inputs!$D$77:$F$77,1,Inputs!$E$13)</f>
        <v/>
      </c>
      <c r="BA22" s="24">
        <f>INDEX(Inputs!$D$76:$F$76,1,Inputs!$E$13)+BA21*INDEX(Inputs!$D$77:$F$77,1,Inputs!$E$13)</f>
        <v/>
      </c>
      <c r="BB22" s="24">
        <f>INDEX(Inputs!$D$76:$F$76,1,Inputs!$E$13)+BB21*INDEX(Inputs!$D$77:$F$77,1,Inputs!$E$13)</f>
        <v/>
      </c>
      <c r="BC22" s="24">
        <f>INDEX(Inputs!$D$76:$F$76,1,Inputs!$E$13)+BC21*INDEX(Inputs!$D$77:$F$77,1,Inputs!$E$13)</f>
        <v/>
      </c>
      <c r="BD22" s="24">
        <f>INDEX(Inputs!$D$76:$F$76,1,Inputs!$E$13)+BD21*INDEX(Inputs!$D$77:$F$77,1,Inputs!$E$13)</f>
        <v/>
      </c>
      <c r="BE22" s="24">
        <f>INDEX(Inputs!$D$76:$F$76,1,Inputs!$E$13)+BE21*INDEX(Inputs!$D$77:$F$77,1,Inputs!$E$13)</f>
        <v/>
      </c>
      <c r="BF22" s="24">
        <f>INDEX(Inputs!$D$76:$F$76,1,Inputs!$E$13)+BF21*INDEX(Inputs!$D$77:$F$77,1,Inputs!$E$13)</f>
        <v/>
      </c>
      <c r="BG22" s="24">
        <f>INDEX(Inputs!$D$76:$F$76,1,Inputs!$E$13)+BG21*INDEX(Inputs!$D$77:$F$77,1,Inputs!$E$13)</f>
        <v/>
      </c>
      <c r="BH22" s="24">
        <f>INDEX(Inputs!$D$76:$F$76,1,Inputs!$E$13)+BH21*INDEX(Inputs!$D$77:$F$77,1,Inputs!$E$13)</f>
        <v/>
      </c>
      <c r="BI22" s="24">
        <f>INDEX(Inputs!$D$76:$F$76,1,Inputs!$E$13)+BI21*INDEX(Inputs!$D$77:$F$77,1,Inputs!$E$13)</f>
        <v/>
      </c>
      <c r="BJ22" s="24">
        <f>INDEX(Inputs!$D$76:$F$76,1,Inputs!$E$13)+BJ21*INDEX(Inputs!$D$77:$F$77,1,Inputs!$E$13)</f>
        <v/>
      </c>
    </row>
    <row r="23">
      <c r="A23" t="inlineStr">
        <is>
          <t>Labour</t>
        </is>
      </c>
      <c r="C23" s="3">
        <f>(C22*INDEX(Inputs!$D$78:$F$78,1,Inputs!$E$13)+INDEX(Inputs!$D$79:$F$79,1,Inputs!$E$13))*(1+Inputs!$D$71)^(C4-1)*(1+Inputs!$D$67)+C22*Inputs!$D$68</f>
        <v/>
      </c>
      <c r="D23" s="3">
        <f>(D22*INDEX(Inputs!$D$78:$F$78,1,Inputs!$E$13)+INDEX(Inputs!$D$79:$F$79,1,Inputs!$E$13))*(1+Inputs!$D$71)^(D4-1)*(1+Inputs!$D$67)+D22*Inputs!$D$68</f>
        <v/>
      </c>
      <c r="E23" s="3">
        <f>(E22*INDEX(Inputs!$D$78:$F$78,1,Inputs!$E$13)+INDEX(Inputs!$D$79:$F$79,1,Inputs!$E$13))*(1+Inputs!$D$71)^(E4-1)*(1+Inputs!$D$67)+E22*Inputs!$D$68</f>
        <v/>
      </c>
      <c r="F23" s="3">
        <f>(F22*INDEX(Inputs!$D$78:$F$78,1,Inputs!$E$13)+INDEX(Inputs!$D$79:$F$79,1,Inputs!$E$13))*(1+Inputs!$D$71)^(F4-1)*(1+Inputs!$D$67)+F22*Inputs!$D$68</f>
        <v/>
      </c>
      <c r="G23" s="3">
        <f>(G22*INDEX(Inputs!$D$78:$F$78,1,Inputs!$E$13)+INDEX(Inputs!$D$79:$F$79,1,Inputs!$E$13))*(1+Inputs!$D$71)^(G4-1)*(1+Inputs!$D$67)+G22*Inputs!$D$68</f>
        <v/>
      </c>
      <c r="H23" s="3">
        <f>(H22*INDEX(Inputs!$D$78:$F$78,1,Inputs!$E$13)+INDEX(Inputs!$D$79:$F$79,1,Inputs!$E$13))*(1+Inputs!$D$71)^(H4-1)*(1+Inputs!$D$67)+H22*Inputs!$D$68</f>
        <v/>
      </c>
      <c r="I23" s="3">
        <f>(I22*INDEX(Inputs!$D$78:$F$78,1,Inputs!$E$13)+INDEX(Inputs!$D$79:$F$79,1,Inputs!$E$13))*(1+Inputs!$D$71)^(I4-1)*(1+Inputs!$D$67)+I22*Inputs!$D$68</f>
        <v/>
      </c>
      <c r="J23" s="3">
        <f>(J22*INDEX(Inputs!$D$78:$F$78,1,Inputs!$E$13)+INDEX(Inputs!$D$79:$F$79,1,Inputs!$E$13))*(1+Inputs!$D$71)^(J4-1)*(1+Inputs!$D$67)+J22*Inputs!$D$68</f>
        <v/>
      </c>
      <c r="K23" s="3">
        <f>(K22*INDEX(Inputs!$D$78:$F$78,1,Inputs!$E$13)+INDEX(Inputs!$D$79:$F$79,1,Inputs!$E$13))*(1+Inputs!$D$71)^(K4-1)*(1+Inputs!$D$67)+K22*Inputs!$D$68</f>
        <v/>
      </c>
      <c r="L23" s="3">
        <f>(L22*INDEX(Inputs!$D$78:$F$78,1,Inputs!$E$13)+INDEX(Inputs!$D$79:$F$79,1,Inputs!$E$13))*(1+Inputs!$D$71)^(L4-1)*(1+Inputs!$D$67)+L22*Inputs!$D$68</f>
        <v/>
      </c>
      <c r="M23" s="3">
        <f>(M22*INDEX(Inputs!$D$78:$F$78,1,Inputs!$E$13)+INDEX(Inputs!$D$79:$F$79,1,Inputs!$E$13))*(1+Inputs!$D$71)^(M4-1)*(1+Inputs!$D$67)+M22*Inputs!$D$68</f>
        <v/>
      </c>
      <c r="N23" s="3">
        <f>(N22*INDEX(Inputs!$D$78:$F$78,1,Inputs!$E$13)+INDEX(Inputs!$D$79:$F$79,1,Inputs!$E$13))*(1+Inputs!$D$71)^(N4-1)*(1+Inputs!$D$67)+N22*Inputs!$D$68</f>
        <v/>
      </c>
      <c r="O23" s="3">
        <f>(O22*INDEX(Inputs!$D$78:$F$78,1,Inputs!$E$13)+INDEX(Inputs!$D$79:$F$79,1,Inputs!$E$13))*(1+Inputs!$D$71)^(O4-1)*(1+Inputs!$D$67)+O22*Inputs!$D$68</f>
        <v/>
      </c>
      <c r="P23" s="3">
        <f>(P22*INDEX(Inputs!$D$78:$F$78,1,Inputs!$E$13)+INDEX(Inputs!$D$79:$F$79,1,Inputs!$E$13))*(1+Inputs!$D$71)^(P4-1)*(1+Inputs!$D$67)+P22*Inputs!$D$68</f>
        <v/>
      </c>
      <c r="Q23" s="3">
        <f>(Q22*INDEX(Inputs!$D$78:$F$78,1,Inputs!$E$13)+INDEX(Inputs!$D$79:$F$79,1,Inputs!$E$13))*(1+Inputs!$D$71)^(Q4-1)*(1+Inputs!$D$67)+Q22*Inputs!$D$68</f>
        <v/>
      </c>
      <c r="R23" s="3">
        <f>(R22*INDEX(Inputs!$D$78:$F$78,1,Inputs!$E$13)+INDEX(Inputs!$D$79:$F$79,1,Inputs!$E$13))*(1+Inputs!$D$71)^(R4-1)*(1+Inputs!$D$67)+R22*Inputs!$D$68</f>
        <v/>
      </c>
      <c r="S23" s="3">
        <f>(S22*INDEX(Inputs!$D$78:$F$78,1,Inputs!$E$13)+INDEX(Inputs!$D$79:$F$79,1,Inputs!$E$13))*(1+Inputs!$D$71)^(S4-1)*(1+Inputs!$D$67)+S22*Inputs!$D$68</f>
        <v/>
      </c>
      <c r="T23" s="3">
        <f>(T22*INDEX(Inputs!$D$78:$F$78,1,Inputs!$E$13)+INDEX(Inputs!$D$79:$F$79,1,Inputs!$E$13))*(1+Inputs!$D$71)^(T4-1)*(1+Inputs!$D$67)+T22*Inputs!$D$68</f>
        <v/>
      </c>
      <c r="U23" s="3">
        <f>(U22*INDEX(Inputs!$D$78:$F$78,1,Inputs!$E$13)+INDEX(Inputs!$D$79:$F$79,1,Inputs!$E$13))*(1+Inputs!$D$71)^(U4-1)*(1+Inputs!$D$67)+U22*Inputs!$D$68</f>
        <v/>
      </c>
      <c r="V23" s="3">
        <f>(V22*INDEX(Inputs!$D$78:$F$78,1,Inputs!$E$13)+INDEX(Inputs!$D$79:$F$79,1,Inputs!$E$13))*(1+Inputs!$D$71)^(V4-1)*(1+Inputs!$D$67)+V22*Inputs!$D$68</f>
        <v/>
      </c>
      <c r="W23" s="3">
        <f>(W22*INDEX(Inputs!$D$78:$F$78,1,Inputs!$E$13)+INDEX(Inputs!$D$79:$F$79,1,Inputs!$E$13))*(1+Inputs!$D$71)^(W4-1)*(1+Inputs!$D$67)+W22*Inputs!$D$68</f>
        <v/>
      </c>
      <c r="X23" s="3">
        <f>(X22*INDEX(Inputs!$D$78:$F$78,1,Inputs!$E$13)+INDEX(Inputs!$D$79:$F$79,1,Inputs!$E$13))*(1+Inputs!$D$71)^(X4-1)*(1+Inputs!$D$67)+X22*Inputs!$D$68</f>
        <v/>
      </c>
      <c r="Y23" s="3">
        <f>(Y22*INDEX(Inputs!$D$78:$F$78,1,Inputs!$E$13)+INDEX(Inputs!$D$79:$F$79,1,Inputs!$E$13))*(1+Inputs!$D$71)^(Y4-1)*(1+Inputs!$D$67)+Y22*Inputs!$D$68</f>
        <v/>
      </c>
      <c r="Z23" s="3">
        <f>(Z22*INDEX(Inputs!$D$78:$F$78,1,Inputs!$E$13)+INDEX(Inputs!$D$79:$F$79,1,Inputs!$E$13))*(1+Inputs!$D$71)^(Z4-1)*(1+Inputs!$D$67)+Z22*Inputs!$D$68</f>
        <v/>
      </c>
      <c r="AA23" s="3">
        <f>(AA22*INDEX(Inputs!$D$78:$F$78,1,Inputs!$E$13)+INDEX(Inputs!$D$79:$F$79,1,Inputs!$E$13))*(1+Inputs!$D$71)^(AA4-1)*(1+Inputs!$D$67)+AA22*Inputs!$D$68</f>
        <v/>
      </c>
      <c r="AB23" s="3">
        <f>(AB22*INDEX(Inputs!$D$78:$F$78,1,Inputs!$E$13)+INDEX(Inputs!$D$79:$F$79,1,Inputs!$E$13))*(1+Inputs!$D$71)^(AB4-1)*(1+Inputs!$D$67)+AB22*Inputs!$D$68</f>
        <v/>
      </c>
      <c r="AC23" s="3">
        <f>(AC22*INDEX(Inputs!$D$78:$F$78,1,Inputs!$E$13)+INDEX(Inputs!$D$79:$F$79,1,Inputs!$E$13))*(1+Inputs!$D$71)^(AC4-1)*(1+Inputs!$D$67)+AC22*Inputs!$D$68</f>
        <v/>
      </c>
      <c r="AD23" s="3">
        <f>(AD22*INDEX(Inputs!$D$78:$F$78,1,Inputs!$E$13)+INDEX(Inputs!$D$79:$F$79,1,Inputs!$E$13))*(1+Inputs!$D$71)^(AD4-1)*(1+Inputs!$D$67)+AD22*Inputs!$D$68</f>
        <v/>
      </c>
      <c r="AE23" s="3">
        <f>(AE22*INDEX(Inputs!$D$78:$F$78,1,Inputs!$E$13)+INDEX(Inputs!$D$79:$F$79,1,Inputs!$E$13))*(1+Inputs!$D$71)^(AE4-1)*(1+Inputs!$D$67)+AE22*Inputs!$D$68</f>
        <v/>
      </c>
      <c r="AF23" s="3">
        <f>(AF22*INDEX(Inputs!$D$78:$F$78,1,Inputs!$E$13)+INDEX(Inputs!$D$79:$F$79,1,Inputs!$E$13))*(1+Inputs!$D$71)^(AF4-1)*(1+Inputs!$D$67)+AF22*Inputs!$D$68</f>
        <v/>
      </c>
      <c r="AG23" s="3">
        <f>(AG22*INDEX(Inputs!$D$78:$F$78,1,Inputs!$E$13)+INDEX(Inputs!$D$79:$F$79,1,Inputs!$E$13))*(1+Inputs!$D$71)^(AG4-1)*(1+Inputs!$D$67)+AG22*Inputs!$D$68</f>
        <v/>
      </c>
      <c r="AH23" s="3">
        <f>(AH22*INDEX(Inputs!$D$78:$F$78,1,Inputs!$E$13)+INDEX(Inputs!$D$79:$F$79,1,Inputs!$E$13))*(1+Inputs!$D$71)^(AH4-1)*(1+Inputs!$D$67)+AH22*Inputs!$D$68</f>
        <v/>
      </c>
      <c r="AI23" s="3">
        <f>(AI22*INDEX(Inputs!$D$78:$F$78,1,Inputs!$E$13)+INDEX(Inputs!$D$79:$F$79,1,Inputs!$E$13))*(1+Inputs!$D$71)^(AI4-1)*(1+Inputs!$D$67)+AI22*Inputs!$D$68</f>
        <v/>
      </c>
      <c r="AJ23" s="3">
        <f>(AJ22*INDEX(Inputs!$D$78:$F$78,1,Inputs!$E$13)+INDEX(Inputs!$D$79:$F$79,1,Inputs!$E$13))*(1+Inputs!$D$71)^(AJ4-1)*(1+Inputs!$D$67)+AJ22*Inputs!$D$68</f>
        <v/>
      </c>
      <c r="AK23" s="3">
        <f>(AK22*INDEX(Inputs!$D$78:$F$78,1,Inputs!$E$13)+INDEX(Inputs!$D$79:$F$79,1,Inputs!$E$13))*(1+Inputs!$D$71)^(AK4-1)*(1+Inputs!$D$67)+AK22*Inputs!$D$68</f>
        <v/>
      </c>
      <c r="AL23" s="3">
        <f>(AL22*INDEX(Inputs!$D$78:$F$78,1,Inputs!$E$13)+INDEX(Inputs!$D$79:$F$79,1,Inputs!$E$13))*(1+Inputs!$D$71)^(AL4-1)*(1+Inputs!$D$67)+AL22*Inputs!$D$68</f>
        <v/>
      </c>
      <c r="AM23" s="3">
        <f>(AM22*INDEX(Inputs!$D$78:$F$78,1,Inputs!$E$13)+INDEX(Inputs!$D$79:$F$79,1,Inputs!$E$13))*(1+Inputs!$D$71)^(AM4-1)*(1+Inputs!$D$67)+AM22*Inputs!$D$68</f>
        <v/>
      </c>
      <c r="AN23" s="3">
        <f>(AN22*INDEX(Inputs!$D$78:$F$78,1,Inputs!$E$13)+INDEX(Inputs!$D$79:$F$79,1,Inputs!$E$13))*(1+Inputs!$D$71)^(AN4-1)*(1+Inputs!$D$67)+AN22*Inputs!$D$68</f>
        <v/>
      </c>
      <c r="AO23" s="3">
        <f>(AO22*INDEX(Inputs!$D$78:$F$78,1,Inputs!$E$13)+INDEX(Inputs!$D$79:$F$79,1,Inputs!$E$13))*(1+Inputs!$D$71)^(AO4-1)*(1+Inputs!$D$67)+AO22*Inputs!$D$68</f>
        <v/>
      </c>
      <c r="AP23" s="3">
        <f>(AP22*INDEX(Inputs!$D$78:$F$78,1,Inputs!$E$13)+INDEX(Inputs!$D$79:$F$79,1,Inputs!$E$13))*(1+Inputs!$D$71)^(AP4-1)*(1+Inputs!$D$67)+AP22*Inputs!$D$68</f>
        <v/>
      </c>
      <c r="AQ23" s="3">
        <f>(AQ22*INDEX(Inputs!$D$78:$F$78,1,Inputs!$E$13)+INDEX(Inputs!$D$79:$F$79,1,Inputs!$E$13))*(1+Inputs!$D$71)^(AQ4-1)*(1+Inputs!$D$67)+AQ22*Inputs!$D$68</f>
        <v/>
      </c>
      <c r="AR23" s="3">
        <f>(AR22*INDEX(Inputs!$D$78:$F$78,1,Inputs!$E$13)+INDEX(Inputs!$D$79:$F$79,1,Inputs!$E$13))*(1+Inputs!$D$71)^(AR4-1)*(1+Inputs!$D$67)+AR22*Inputs!$D$68</f>
        <v/>
      </c>
      <c r="AS23" s="3">
        <f>(AS22*INDEX(Inputs!$D$78:$F$78,1,Inputs!$E$13)+INDEX(Inputs!$D$79:$F$79,1,Inputs!$E$13))*(1+Inputs!$D$71)^(AS4-1)*(1+Inputs!$D$67)+AS22*Inputs!$D$68</f>
        <v/>
      </c>
      <c r="AT23" s="3">
        <f>(AT22*INDEX(Inputs!$D$78:$F$78,1,Inputs!$E$13)+INDEX(Inputs!$D$79:$F$79,1,Inputs!$E$13))*(1+Inputs!$D$71)^(AT4-1)*(1+Inputs!$D$67)+AT22*Inputs!$D$68</f>
        <v/>
      </c>
      <c r="AU23" s="3">
        <f>(AU22*INDEX(Inputs!$D$78:$F$78,1,Inputs!$E$13)+INDEX(Inputs!$D$79:$F$79,1,Inputs!$E$13))*(1+Inputs!$D$71)^(AU4-1)*(1+Inputs!$D$67)+AU22*Inputs!$D$68</f>
        <v/>
      </c>
      <c r="AV23" s="3">
        <f>(AV22*INDEX(Inputs!$D$78:$F$78,1,Inputs!$E$13)+INDEX(Inputs!$D$79:$F$79,1,Inputs!$E$13))*(1+Inputs!$D$71)^(AV4-1)*(1+Inputs!$D$67)+AV22*Inputs!$D$68</f>
        <v/>
      </c>
      <c r="AW23" s="3">
        <f>(AW22*INDEX(Inputs!$D$78:$F$78,1,Inputs!$E$13)+INDEX(Inputs!$D$79:$F$79,1,Inputs!$E$13))*(1+Inputs!$D$71)^(AW4-1)*(1+Inputs!$D$67)+AW22*Inputs!$D$68</f>
        <v/>
      </c>
      <c r="AX23" s="3">
        <f>(AX22*INDEX(Inputs!$D$78:$F$78,1,Inputs!$E$13)+INDEX(Inputs!$D$79:$F$79,1,Inputs!$E$13))*(1+Inputs!$D$71)^(AX4-1)*(1+Inputs!$D$67)+AX22*Inputs!$D$68</f>
        <v/>
      </c>
      <c r="AY23" s="3">
        <f>(AY22*INDEX(Inputs!$D$78:$F$78,1,Inputs!$E$13)+INDEX(Inputs!$D$79:$F$79,1,Inputs!$E$13))*(1+Inputs!$D$71)^(AY4-1)*(1+Inputs!$D$67)+AY22*Inputs!$D$68</f>
        <v/>
      </c>
      <c r="AZ23" s="3">
        <f>(AZ22*INDEX(Inputs!$D$78:$F$78,1,Inputs!$E$13)+INDEX(Inputs!$D$79:$F$79,1,Inputs!$E$13))*(1+Inputs!$D$71)^(AZ4-1)*(1+Inputs!$D$67)+AZ22*Inputs!$D$68</f>
        <v/>
      </c>
      <c r="BA23" s="3">
        <f>(BA22*INDEX(Inputs!$D$78:$F$78,1,Inputs!$E$13)+INDEX(Inputs!$D$79:$F$79,1,Inputs!$E$13))*(1+Inputs!$D$71)^(BA4-1)*(1+Inputs!$D$67)+BA22*Inputs!$D$68</f>
        <v/>
      </c>
      <c r="BB23" s="3">
        <f>(BB22*INDEX(Inputs!$D$78:$F$78,1,Inputs!$E$13)+INDEX(Inputs!$D$79:$F$79,1,Inputs!$E$13))*(1+Inputs!$D$71)^(BB4-1)*(1+Inputs!$D$67)+BB22*Inputs!$D$68</f>
        <v/>
      </c>
      <c r="BC23" s="3">
        <f>(BC22*INDEX(Inputs!$D$78:$F$78,1,Inputs!$E$13)+INDEX(Inputs!$D$79:$F$79,1,Inputs!$E$13))*(1+Inputs!$D$71)^(BC4-1)*(1+Inputs!$D$67)+BC22*Inputs!$D$68</f>
        <v/>
      </c>
      <c r="BD23" s="3">
        <f>(BD22*INDEX(Inputs!$D$78:$F$78,1,Inputs!$E$13)+INDEX(Inputs!$D$79:$F$79,1,Inputs!$E$13))*(1+Inputs!$D$71)^(BD4-1)*(1+Inputs!$D$67)+BD22*Inputs!$D$68</f>
        <v/>
      </c>
      <c r="BE23" s="3">
        <f>(BE22*INDEX(Inputs!$D$78:$F$78,1,Inputs!$E$13)+INDEX(Inputs!$D$79:$F$79,1,Inputs!$E$13))*(1+Inputs!$D$71)^(BE4-1)*(1+Inputs!$D$67)+BE22*Inputs!$D$68</f>
        <v/>
      </c>
      <c r="BF23" s="3">
        <f>(BF22*INDEX(Inputs!$D$78:$F$78,1,Inputs!$E$13)+INDEX(Inputs!$D$79:$F$79,1,Inputs!$E$13))*(1+Inputs!$D$71)^(BF4-1)*(1+Inputs!$D$67)+BF22*Inputs!$D$68</f>
        <v/>
      </c>
      <c r="BG23" s="3">
        <f>(BG22*INDEX(Inputs!$D$78:$F$78,1,Inputs!$E$13)+INDEX(Inputs!$D$79:$F$79,1,Inputs!$E$13))*(1+Inputs!$D$71)^(BG4-1)*(1+Inputs!$D$67)+BG22*Inputs!$D$68</f>
        <v/>
      </c>
      <c r="BH23" s="3">
        <f>(BH22*INDEX(Inputs!$D$78:$F$78,1,Inputs!$E$13)+INDEX(Inputs!$D$79:$F$79,1,Inputs!$E$13))*(1+Inputs!$D$71)^(BH4-1)*(1+Inputs!$D$67)+BH22*Inputs!$D$68</f>
        <v/>
      </c>
      <c r="BI23" s="3">
        <f>(BI22*INDEX(Inputs!$D$78:$F$78,1,Inputs!$E$13)+INDEX(Inputs!$D$79:$F$79,1,Inputs!$E$13))*(1+Inputs!$D$71)^(BI4-1)*(1+Inputs!$D$67)+BI22*Inputs!$D$68</f>
        <v/>
      </c>
      <c r="BJ23" s="3">
        <f>(BJ22*INDEX(Inputs!$D$78:$F$78,1,Inputs!$E$13)+INDEX(Inputs!$D$79:$F$79,1,Inputs!$E$13))*(1+Inputs!$D$71)^(BJ4-1)*(1+Inputs!$D$67)+BJ22*Inputs!$D$68</f>
        <v/>
      </c>
    </row>
    <row r="24">
      <c r="A24" t="inlineStr">
        <is>
          <t>Ground rent</t>
        </is>
      </c>
      <c r="C24" s="3">
        <f>Inputs!$D$14*Inputs!$D$65*(1+Inputs!$D$70)^(C4-1)</f>
        <v/>
      </c>
      <c r="D24" s="3">
        <f>Inputs!$D$14*Inputs!$D$65*(1+Inputs!$D$70)^(D4-1)</f>
        <v/>
      </c>
      <c r="E24" s="3">
        <f>Inputs!$D$14*Inputs!$D$65*(1+Inputs!$D$70)^(E4-1)</f>
        <v/>
      </c>
      <c r="F24" s="3">
        <f>Inputs!$D$14*Inputs!$D$65*(1+Inputs!$D$70)^(F4-1)</f>
        <v/>
      </c>
      <c r="G24" s="3">
        <f>Inputs!$D$14*Inputs!$D$65*(1+Inputs!$D$70)^(G4-1)</f>
        <v/>
      </c>
      <c r="H24" s="3">
        <f>Inputs!$D$14*Inputs!$D$65*(1+Inputs!$D$70)^(H4-1)</f>
        <v/>
      </c>
      <c r="I24" s="3">
        <f>Inputs!$D$14*Inputs!$D$65*(1+Inputs!$D$70)^(I4-1)</f>
        <v/>
      </c>
      <c r="J24" s="3">
        <f>Inputs!$D$14*Inputs!$D$65*(1+Inputs!$D$70)^(J4-1)</f>
        <v/>
      </c>
      <c r="K24" s="3">
        <f>Inputs!$D$14*Inputs!$D$65*(1+Inputs!$D$70)^(K4-1)</f>
        <v/>
      </c>
      <c r="L24" s="3">
        <f>Inputs!$D$14*Inputs!$D$65*(1+Inputs!$D$70)^(L4-1)</f>
        <v/>
      </c>
      <c r="M24" s="3">
        <f>Inputs!$D$14*Inputs!$D$65*(1+Inputs!$D$70)^(M4-1)</f>
        <v/>
      </c>
      <c r="N24" s="3">
        <f>Inputs!$D$14*Inputs!$D$65*(1+Inputs!$D$70)^(N4-1)</f>
        <v/>
      </c>
      <c r="O24" s="3">
        <f>Inputs!$D$14*Inputs!$D$65*(1+Inputs!$D$70)^(O4-1)</f>
        <v/>
      </c>
      <c r="P24" s="3">
        <f>Inputs!$D$14*Inputs!$D$65*(1+Inputs!$D$70)^(P4-1)</f>
        <v/>
      </c>
      <c r="Q24" s="3">
        <f>Inputs!$D$14*Inputs!$D$65*(1+Inputs!$D$70)^(Q4-1)</f>
        <v/>
      </c>
      <c r="R24" s="3">
        <f>Inputs!$D$14*Inputs!$D$65*(1+Inputs!$D$70)^(R4-1)</f>
        <v/>
      </c>
      <c r="S24" s="3">
        <f>Inputs!$D$14*Inputs!$D$65*(1+Inputs!$D$70)^(S4-1)</f>
        <v/>
      </c>
      <c r="T24" s="3">
        <f>Inputs!$D$14*Inputs!$D$65*(1+Inputs!$D$70)^(T4-1)</f>
        <v/>
      </c>
      <c r="U24" s="3">
        <f>Inputs!$D$14*Inputs!$D$65*(1+Inputs!$D$70)^(U4-1)</f>
        <v/>
      </c>
      <c r="V24" s="3">
        <f>Inputs!$D$14*Inputs!$D$65*(1+Inputs!$D$70)^(V4-1)</f>
        <v/>
      </c>
      <c r="W24" s="3">
        <f>Inputs!$D$14*Inputs!$D$65*(1+Inputs!$D$70)^(W4-1)</f>
        <v/>
      </c>
      <c r="X24" s="3">
        <f>Inputs!$D$14*Inputs!$D$65*(1+Inputs!$D$70)^(X4-1)</f>
        <v/>
      </c>
      <c r="Y24" s="3">
        <f>Inputs!$D$14*Inputs!$D$65*(1+Inputs!$D$70)^(Y4-1)</f>
        <v/>
      </c>
      <c r="Z24" s="3">
        <f>Inputs!$D$14*Inputs!$D$65*(1+Inputs!$D$70)^(Z4-1)</f>
        <v/>
      </c>
      <c r="AA24" s="3">
        <f>Inputs!$D$14*Inputs!$D$65*(1+Inputs!$D$70)^(AA4-1)</f>
        <v/>
      </c>
      <c r="AB24" s="3">
        <f>Inputs!$D$14*Inputs!$D$65*(1+Inputs!$D$70)^(AB4-1)</f>
        <v/>
      </c>
      <c r="AC24" s="3">
        <f>Inputs!$D$14*Inputs!$D$65*(1+Inputs!$D$70)^(AC4-1)</f>
        <v/>
      </c>
      <c r="AD24" s="3">
        <f>Inputs!$D$14*Inputs!$D$65*(1+Inputs!$D$70)^(AD4-1)</f>
        <v/>
      </c>
      <c r="AE24" s="3">
        <f>Inputs!$D$14*Inputs!$D$65*(1+Inputs!$D$70)^(AE4-1)</f>
        <v/>
      </c>
      <c r="AF24" s="3">
        <f>Inputs!$D$14*Inputs!$D$65*(1+Inputs!$D$70)^(AF4-1)</f>
        <v/>
      </c>
      <c r="AG24" s="3">
        <f>Inputs!$D$14*Inputs!$D$65*(1+Inputs!$D$70)^(AG4-1)</f>
        <v/>
      </c>
      <c r="AH24" s="3">
        <f>Inputs!$D$14*Inputs!$D$65*(1+Inputs!$D$70)^(AH4-1)</f>
        <v/>
      </c>
      <c r="AI24" s="3">
        <f>Inputs!$D$14*Inputs!$D$65*(1+Inputs!$D$70)^(AI4-1)</f>
        <v/>
      </c>
      <c r="AJ24" s="3">
        <f>Inputs!$D$14*Inputs!$D$65*(1+Inputs!$D$70)^(AJ4-1)</f>
        <v/>
      </c>
      <c r="AK24" s="3">
        <f>Inputs!$D$14*Inputs!$D$65*(1+Inputs!$D$70)^(AK4-1)</f>
        <v/>
      </c>
      <c r="AL24" s="3">
        <f>Inputs!$D$14*Inputs!$D$65*(1+Inputs!$D$70)^(AL4-1)</f>
        <v/>
      </c>
      <c r="AM24" s="3">
        <f>Inputs!$D$14*Inputs!$D$65*(1+Inputs!$D$70)^(AM4-1)</f>
        <v/>
      </c>
      <c r="AN24" s="3">
        <f>Inputs!$D$14*Inputs!$D$65*(1+Inputs!$D$70)^(AN4-1)</f>
        <v/>
      </c>
      <c r="AO24" s="3">
        <f>Inputs!$D$14*Inputs!$D$65*(1+Inputs!$D$70)^(AO4-1)</f>
        <v/>
      </c>
      <c r="AP24" s="3">
        <f>Inputs!$D$14*Inputs!$D$65*(1+Inputs!$D$70)^(AP4-1)</f>
        <v/>
      </c>
      <c r="AQ24" s="3">
        <f>Inputs!$D$14*Inputs!$D$65*(1+Inputs!$D$70)^(AQ4-1)</f>
        <v/>
      </c>
      <c r="AR24" s="3">
        <f>Inputs!$D$14*Inputs!$D$65*(1+Inputs!$D$70)^(AR4-1)</f>
        <v/>
      </c>
      <c r="AS24" s="3">
        <f>Inputs!$D$14*Inputs!$D$65*(1+Inputs!$D$70)^(AS4-1)</f>
        <v/>
      </c>
      <c r="AT24" s="3">
        <f>Inputs!$D$14*Inputs!$D$65*(1+Inputs!$D$70)^(AT4-1)</f>
        <v/>
      </c>
      <c r="AU24" s="3">
        <f>Inputs!$D$14*Inputs!$D$65*(1+Inputs!$D$70)^(AU4-1)</f>
        <v/>
      </c>
      <c r="AV24" s="3">
        <f>Inputs!$D$14*Inputs!$D$65*(1+Inputs!$D$70)^(AV4-1)</f>
        <v/>
      </c>
      <c r="AW24" s="3">
        <f>Inputs!$D$14*Inputs!$D$65*(1+Inputs!$D$70)^(AW4-1)</f>
        <v/>
      </c>
      <c r="AX24" s="3">
        <f>Inputs!$D$14*Inputs!$D$65*(1+Inputs!$D$70)^(AX4-1)</f>
        <v/>
      </c>
      <c r="AY24" s="3">
        <f>Inputs!$D$14*Inputs!$D$65*(1+Inputs!$D$70)^(AY4-1)</f>
        <v/>
      </c>
      <c r="AZ24" s="3">
        <f>Inputs!$D$14*Inputs!$D$65*(1+Inputs!$D$70)^(AZ4-1)</f>
        <v/>
      </c>
      <c r="BA24" s="3">
        <f>Inputs!$D$14*Inputs!$D$65*(1+Inputs!$D$70)^(BA4-1)</f>
        <v/>
      </c>
      <c r="BB24" s="3">
        <f>Inputs!$D$14*Inputs!$D$65*(1+Inputs!$D$70)^(BB4-1)</f>
        <v/>
      </c>
      <c r="BC24" s="3">
        <f>Inputs!$D$14*Inputs!$D$65*(1+Inputs!$D$70)^(BC4-1)</f>
        <v/>
      </c>
      <c r="BD24" s="3">
        <f>Inputs!$D$14*Inputs!$D$65*(1+Inputs!$D$70)^(BD4-1)</f>
        <v/>
      </c>
      <c r="BE24" s="3">
        <f>Inputs!$D$14*Inputs!$D$65*(1+Inputs!$D$70)^(BE4-1)</f>
        <v/>
      </c>
      <c r="BF24" s="3">
        <f>Inputs!$D$14*Inputs!$D$65*(1+Inputs!$D$70)^(BF4-1)</f>
        <v/>
      </c>
      <c r="BG24" s="3">
        <f>Inputs!$D$14*Inputs!$D$65*(1+Inputs!$D$70)^(BG4-1)</f>
        <v/>
      </c>
      <c r="BH24" s="3">
        <f>Inputs!$D$14*Inputs!$D$65*(1+Inputs!$D$70)^(BH4-1)</f>
        <v/>
      </c>
      <c r="BI24" s="3">
        <f>Inputs!$D$14*Inputs!$D$65*(1+Inputs!$D$70)^(BI4-1)</f>
        <v/>
      </c>
      <c r="BJ24" s="3">
        <f>Inputs!$D$14*Inputs!$D$65*(1+Inputs!$D$70)^(BJ4-1)</f>
        <v/>
      </c>
    </row>
    <row r="25">
      <c r="A25" t="inlineStr">
        <is>
          <t>Other fixed + land tax</t>
        </is>
      </c>
      <c r="C25" s="3">
        <f>Inputs!$D$64*(1+Inputs!$D$70)^(C4-1)+Inputs!$D$66/12</f>
        <v/>
      </c>
      <c r="D25" s="3">
        <f>Inputs!$D$64*(1+Inputs!$D$70)^(D4-1)+Inputs!$D$66/12</f>
        <v/>
      </c>
      <c r="E25" s="3">
        <f>Inputs!$D$64*(1+Inputs!$D$70)^(E4-1)+Inputs!$D$66/12</f>
        <v/>
      </c>
      <c r="F25" s="3">
        <f>Inputs!$D$64*(1+Inputs!$D$70)^(F4-1)+Inputs!$D$66/12</f>
        <v/>
      </c>
      <c r="G25" s="3">
        <f>Inputs!$D$64*(1+Inputs!$D$70)^(G4-1)+Inputs!$D$66/12</f>
        <v/>
      </c>
      <c r="H25" s="3">
        <f>Inputs!$D$64*(1+Inputs!$D$70)^(H4-1)+Inputs!$D$66/12</f>
        <v/>
      </c>
      <c r="I25" s="3">
        <f>Inputs!$D$64*(1+Inputs!$D$70)^(I4-1)+Inputs!$D$66/12</f>
        <v/>
      </c>
      <c r="J25" s="3">
        <f>Inputs!$D$64*(1+Inputs!$D$70)^(J4-1)+Inputs!$D$66/12</f>
        <v/>
      </c>
      <c r="K25" s="3">
        <f>Inputs!$D$64*(1+Inputs!$D$70)^(K4-1)+Inputs!$D$66/12</f>
        <v/>
      </c>
      <c r="L25" s="3">
        <f>Inputs!$D$64*(1+Inputs!$D$70)^(L4-1)+Inputs!$D$66/12</f>
        <v/>
      </c>
      <c r="M25" s="3">
        <f>Inputs!$D$64*(1+Inputs!$D$70)^(M4-1)+Inputs!$D$66/12</f>
        <v/>
      </c>
      <c r="N25" s="3">
        <f>Inputs!$D$64*(1+Inputs!$D$70)^(N4-1)+Inputs!$D$66/12</f>
        <v/>
      </c>
      <c r="O25" s="3">
        <f>Inputs!$D$64*(1+Inputs!$D$70)^(O4-1)+Inputs!$D$66/12</f>
        <v/>
      </c>
      <c r="P25" s="3">
        <f>Inputs!$D$64*(1+Inputs!$D$70)^(P4-1)+Inputs!$D$66/12</f>
        <v/>
      </c>
      <c r="Q25" s="3">
        <f>Inputs!$D$64*(1+Inputs!$D$70)^(Q4-1)+Inputs!$D$66/12</f>
        <v/>
      </c>
      <c r="R25" s="3">
        <f>Inputs!$D$64*(1+Inputs!$D$70)^(R4-1)+Inputs!$D$66/12</f>
        <v/>
      </c>
      <c r="S25" s="3">
        <f>Inputs!$D$64*(1+Inputs!$D$70)^(S4-1)+Inputs!$D$66/12</f>
        <v/>
      </c>
      <c r="T25" s="3">
        <f>Inputs!$D$64*(1+Inputs!$D$70)^(T4-1)+Inputs!$D$66/12</f>
        <v/>
      </c>
      <c r="U25" s="3">
        <f>Inputs!$D$64*(1+Inputs!$D$70)^(U4-1)+Inputs!$D$66/12</f>
        <v/>
      </c>
      <c r="V25" s="3">
        <f>Inputs!$D$64*(1+Inputs!$D$70)^(V4-1)+Inputs!$D$66/12</f>
        <v/>
      </c>
      <c r="W25" s="3">
        <f>Inputs!$D$64*(1+Inputs!$D$70)^(W4-1)+Inputs!$D$66/12</f>
        <v/>
      </c>
      <c r="X25" s="3">
        <f>Inputs!$D$64*(1+Inputs!$D$70)^(X4-1)+Inputs!$D$66/12</f>
        <v/>
      </c>
      <c r="Y25" s="3">
        <f>Inputs!$D$64*(1+Inputs!$D$70)^(Y4-1)+Inputs!$D$66/12</f>
        <v/>
      </c>
      <c r="Z25" s="3">
        <f>Inputs!$D$64*(1+Inputs!$D$70)^(Z4-1)+Inputs!$D$66/12</f>
        <v/>
      </c>
      <c r="AA25" s="3">
        <f>Inputs!$D$64*(1+Inputs!$D$70)^(AA4-1)+Inputs!$D$66/12</f>
        <v/>
      </c>
      <c r="AB25" s="3">
        <f>Inputs!$D$64*(1+Inputs!$D$70)^(AB4-1)+Inputs!$D$66/12</f>
        <v/>
      </c>
      <c r="AC25" s="3">
        <f>Inputs!$D$64*(1+Inputs!$D$70)^(AC4-1)+Inputs!$D$66/12</f>
        <v/>
      </c>
      <c r="AD25" s="3">
        <f>Inputs!$D$64*(1+Inputs!$D$70)^(AD4-1)+Inputs!$D$66/12</f>
        <v/>
      </c>
      <c r="AE25" s="3">
        <f>Inputs!$D$64*(1+Inputs!$D$70)^(AE4-1)+Inputs!$D$66/12</f>
        <v/>
      </c>
      <c r="AF25" s="3">
        <f>Inputs!$D$64*(1+Inputs!$D$70)^(AF4-1)+Inputs!$D$66/12</f>
        <v/>
      </c>
      <c r="AG25" s="3">
        <f>Inputs!$D$64*(1+Inputs!$D$70)^(AG4-1)+Inputs!$D$66/12</f>
        <v/>
      </c>
      <c r="AH25" s="3">
        <f>Inputs!$D$64*(1+Inputs!$D$70)^(AH4-1)+Inputs!$D$66/12</f>
        <v/>
      </c>
      <c r="AI25" s="3">
        <f>Inputs!$D$64*(1+Inputs!$D$70)^(AI4-1)+Inputs!$D$66/12</f>
        <v/>
      </c>
      <c r="AJ25" s="3">
        <f>Inputs!$D$64*(1+Inputs!$D$70)^(AJ4-1)+Inputs!$D$66/12</f>
        <v/>
      </c>
      <c r="AK25" s="3">
        <f>Inputs!$D$64*(1+Inputs!$D$70)^(AK4-1)+Inputs!$D$66/12</f>
        <v/>
      </c>
      <c r="AL25" s="3">
        <f>Inputs!$D$64*(1+Inputs!$D$70)^(AL4-1)+Inputs!$D$66/12</f>
        <v/>
      </c>
      <c r="AM25" s="3">
        <f>Inputs!$D$64*(1+Inputs!$D$70)^(AM4-1)+Inputs!$D$66/12</f>
        <v/>
      </c>
      <c r="AN25" s="3">
        <f>Inputs!$D$64*(1+Inputs!$D$70)^(AN4-1)+Inputs!$D$66/12</f>
        <v/>
      </c>
      <c r="AO25" s="3">
        <f>Inputs!$D$64*(1+Inputs!$D$70)^(AO4-1)+Inputs!$D$66/12</f>
        <v/>
      </c>
      <c r="AP25" s="3">
        <f>Inputs!$D$64*(1+Inputs!$D$70)^(AP4-1)+Inputs!$D$66/12</f>
        <v/>
      </c>
      <c r="AQ25" s="3">
        <f>Inputs!$D$64*(1+Inputs!$D$70)^(AQ4-1)+Inputs!$D$66/12</f>
        <v/>
      </c>
      <c r="AR25" s="3">
        <f>Inputs!$D$64*(1+Inputs!$D$70)^(AR4-1)+Inputs!$D$66/12</f>
        <v/>
      </c>
      <c r="AS25" s="3">
        <f>Inputs!$D$64*(1+Inputs!$D$70)^(AS4-1)+Inputs!$D$66/12</f>
        <v/>
      </c>
      <c r="AT25" s="3">
        <f>Inputs!$D$64*(1+Inputs!$D$70)^(AT4-1)+Inputs!$D$66/12</f>
        <v/>
      </c>
      <c r="AU25" s="3">
        <f>Inputs!$D$64*(1+Inputs!$D$70)^(AU4-1)+Inputs!$D$66/12</f>
        <v/>
      </c>
      <c r="AV25" s="3">
        <f>Inputs!$D$64*(1+Inputs!$D$70)^(AV4-1)+Inputs!$D$66/12</f>
        <v/>
      </c>
      <c r="AW25" s="3">
        <f>Inputs!$D$64*(1+Inputs!$D$70)^(AW4-1)+Inputs!$D$66/12</f>
        <v/>
      </c>
      <c r="AX25" s="3">
        <f>Inputs!$D$64*(1+Inputs!$D$70)^(AX4-1)+Inputs!$D$66/12</f>
        <v/>
      </c>
      <c r="AY25" s="3">
        <f>Inputs!$D$64*(1+Inputs!$D$70)^(AY4-1)+Inputs!$D$66/12</f>
        <v/>
      </c>
      <c r="AZ25" s="3">
        <f>Inputs!$D$64*(1+Inputs!$D$70)^(AZ4-1)+Inputs!$D$66/12</f>
        <v/>
      </c>
      <c r="BA25" s="3">
        <f>Inputs!$D$64*(1+Inputs!$D$70)^(BA4-1)+Inputs!$D$66/12</f>
        <v/>
      </c>
      <c r="BB25" s="3">
        <f>Inputs!$D$64*(1+Inputs!$D$70)^(BB4-1)+Inputs!$D$66/12</f>
        <v/>
      </c>
      <c r="BC25" s="3">
        <f>Inputs!$D$64*(1+Inputs!$D$70)^(BC4-1)+Inputs!$D$66/12</f>
        <v/>
      </c>
      <c r="BD25" s="3">
        <f>Inputs!$D$64*(1+Inputs!$D$70)^(BD4-1)+Inputs!$D$66/12</f>
        <v/>
      </c>
      <c r="BE25" s="3">
        <f>Inputs!$D$64*(1+Inputs!$D$70)^(BE4-1)+Inputs!$D$66/12</f>
        <v/>
      </c>
      <c r="BF25" s="3">
        <f>Inputs!$D$64*(1+Inputs!$D$70)^(BF4-1)+Inputs!$D$66/12</f>
        <v/>
      </c>
      <c r="BG25" s="3">
        <f>Inputs!$D$64*(1+Inputs!$D$70)^(BG4-1)+Inputs!$D$66/12</f>
        <v/>
      </c>
      <c r="BH25" s="3">
        <f>Inputs!$D$64*(1+Inputs!$D$70)^(BH4-1)+Inputs!$D$66/12</f>
        <v/>
      </c>
      <c r="BI25" s="3">
        <f>Inputs!$D$64*(1+Inputs!$D$70)^(BI4-1)+Inputs!$D$66/12</f>
        <v/>
      </c>
      <c r="BJ25" s="3">
        <f>Inputs!$D$64*(1+Inputs!$D$70)^(BJ4-1)+Inputs!$D$66/12</f>
        <v/>
      </c>
    </row>
    <row r="26">
      <c r="A26" s="18" t="inlineStr">
        <is>
          <t>Total operating costs</t>
        </is>
      </c>
      <c r="C26" s="3">
        <f>SUM(C15:C20)+C23+C24+C25</f>
        <v/>
      </c>
      <c r="D26" s="3">
        <f>SUM(D15:D20)+D23+D24+D25</f>
        <v/>
      </c>
      <c r="E26" s="3">
        <f>SUM(E15:E20)+E23+E24+E25</f>
        <v/>
      </c>
      <c r="F26" s="3">
        <f>SUM(F15:F20)+F23+F24+F25</f>
        <v/>
      </c>
      <c r="G26" s="3">
        <f>SUM(G15:G20)+G23+G24+G25</f>
        <v/>
      </c>
      <c r="H26" s="3">
        <f>SUM(H15:H20)+H23+H24+H25</f>
        <v/>
      </c>
      <c r="I26" s="3">
        <f>SUM(I15:I20)+I23+I24+I25</f>
        <v/>
      </c>
      <c r="J26" s="3">
        <f>SUM(J15:J20)+J23+J24+J25</f>
        <v/>
      </c>
      <c r="K26" s="3">
        <f>SUM(K15:K20)+K23+K24+K25</f>
        <v/>
      </c>
      <c r="L26" s="3">
        <f>SUM(L15:L20)+L23+L24+L25</f>
        <v/>
      </c>
      <c r="M26" s="3">
        <f>SUM(M15:M20)+M23+M24+M25</f>
        <v/>
      </c>
      <c r="N26" s="3">
        <f>SUM(N15:N20)+N23+N24+N25</f>
        <v/>
      </c>
      <c r="O26" s="3">
        <f>SUM(O15:O20)+O23+O24+O25</f>
        <v/>
      </c>
      <c r="P26" s="3">
        <f>SUM(P15:P20)+P23+P24+P25</f>
        <v/>
      </c>
      <c r="Q26" s="3">
        <f>SUM(Q15:Q20)+Q23+Q24+Q25</f>
        <v/>
      </c>
      <c r="R26" s="3">
        <f>SUM(R15:R20)+R23+R24+R25</f>
        <v/>
      </c>
      <c r="S26" s="3">
        <f>SUM(S15:S20)+S23+S24+S25</f>
        <v/>
      </c>
      <c r="T26" s="3">
        <f>SUM(T15:T20)+T23+T24+T25</f>
        <v/>
      </c>
      <c r="U26" s="3">
        <f>SUM(U15:U20)+U23+U24+U25</f>
        <v/>
      </c>
      <c r="V26" s="3">
        <f>SUM(V15:V20)+V23+V24+V25</f>
        <v/>
      </c>
      <c r="W26" s="3">
        <f>SUM(W15:W20)+W23+W24+W25</f>
        <v/>
      </c>
      <c r="X26" s="3">
        <f>SUM(X15:X20)+X23+X24+X25</f>
        <v/>
      </c>
      <c r="Y26" s="3">
        <f>SUM(Y15:Y20)+Y23+Y24+Y25</f>
        <v/>
      </c>
      <c r="Z26" s="3">
        <f>SUM(Z15:Z20)+Z23+Z24+Z25</f>
        <v/>
      </c>
      <c r="AA26" s="3">
        <f>SUM(AA15:AA20)+AA23+AA24+AA25</f>
        <v/>
      </c>
      <c r="AB26" s="3">
        <f>SUM(AB15:AB20)+AB23+AB24+AB25</f>
        <v/>
      </c>
      <c r="AC26" s="3">
        <f>SUM(AC15:AC20)+AC23+AC24+AC25</f>
        <v/>
      </c>
      <c r="AD26" s="3">
        <f>SUM(AD15:AD20)+AD23+AD24+AD25</f>
        <v/>
      </c>
      <c r="AE26" s="3">
        <f>SUM(AE15:AE20)+AE23+AE24+AE25</f>
        <v/>
      </c>
      <c r="AF26" s="3">
        <f>SUM(AF15:AF20)+AF23+AF24+AF25</f>
        <v/>
      </c>
      <c r="AG26" s="3">
        <f>SUM(AG15:AG20)+AG23+AG24+AG25</f>
        <v/>
      </c>
      <c r="AH26" s="3">
        <f>SUM(AH15:AH20)+AH23+AH24+AH25</f>
        <v/>
      </c>
      <c r="AI26" s="3">
        <f>SUM(AI15:AI20)+AI23+AI24+AI25</f>
        <v/>
      </c>
      <c r="AJ26" s="3">
        <f>SUM(AJ15:AJ20)+AJ23+AJ24+AJ25</f>
        <v/>
      </c>
      <c r="AK26" s="3">
        <f>SUM(AK15:AK20)+AK23+AK24+AK25</f>
        <v/>
      </c>
      <c r="AL26" s="3">
        <f>SUM(AL15:AL20)+AL23+AL24+AL25</f>
        <v/>
      </c>
      <c r="AM26" s="3">
        <f>SUM(AM15:AM20)+AM23+AM24+AM25</f>
        <v/>
      </c>
      <c r="AN26" s="3">
        <f>SUM(AN15:AN20)+AN23+AN24+AN25</f>
        <v/>
      </c>
      <c r="AO26" s="3">
        <f>SUM(AO15:AO20)+AO23+AO24+AO25</f>
        <v/>
      </c>
      <c r="AP26" s="3">
        <f>SUM(AP15:AP20)+AP23+AP24+AP25</f>
        <v/>
      </c>
      <c r="AQ26" s="3">
        <f>SUM(AQ15:AQ20)+AQ23+AQ24+AQ25</f>
        <v/>
      </c>
      <c r="AR26" s="3">
        <f>SUM(AR15:AR20)+AR23+AR24+AR25</f>
        <v/>
      </c>
      <c r="AS26" s="3">
        <f>SUM(AS15:AS20)+AS23+AS24+AS25</f>
        <v/>
      </c>
      <c r="AT26" s="3">
        <f>SUM(AT15:AT20)+AT23+AT24+AT25</f>
        <v/>
      </c>
      <c r="AU26" s="3">
        <f>SUM(AU15:AU20)+AU23+AU24+AU25</f>
        <v/>
      </c>
      <c r="AV26" s="3">
        <f>SUM(AV15:AV20)+AV23+AV24+AV25</f>
        <v/>
      </c>
      <c r="AW26" s="3">
        <f>SUM(AW15:AW20)+AW23+AW24+AW25</f>
        <v/>
      </c>
      <c r="AX26" s="3">
        <f>SUM(AX15:AX20)+AX23+AX24+AX25</f>
        <v/>
      </c>
      <c r="AY26" s="3">
        <f>SUM(AY15:AY20)+AY23+AY24+AY25</f>
        <v/>
      </c>
      <c r="AZ26" s="3">
        <f>SUM(AZ15:AZ20)+AZ23+AZ24+AZ25</f>
        <v/>
      </c>
      <c r="BA26" s="3">
        <f>SUM(BA15:BA20)+BA23+BA24+BA25</f>
        <v/>
      </c>
      <c r="BB26" s="3">
        <f>SUM(BB15:BB20)+BB23+BB24+BB25</f>
        <v/>
      </c>
      <c r="BC26" s="3">
        <f>SUM(BC15:BC20)+BC23+BC24+BC25</f>
        <v/>
      </c>
      <c r="BD26" s="3">
        <f>SUM(BD15:BD20)+BD23+BD24+BD25</f>
        <v/>
      </c>
      <c r="BE26" s="3">
        <f>SUM(BE15:BE20)+BE23+BE24+BE25</f>
        <v/>
      </c>
      <c r="BF26" s="3">
        <f>SUM(BF15:BF20)+BF23+BF24+BF25</f>
        <v/>
      </c>
      <c r="BG26" s="3">
        <f>SUM(BG15:BG20)+BG23+BG24+BG25</f>
        <v/>
      </c>
      <c r="BH26" s="3">
        <f>SUM(BH15:BH20)+BH23+BH24+BH25</f>
        <v/>
      </c>
      <c r="BI26" s="3">
        <f>SUM(BI15:BI20)+BI23+BI24+BI25</f>
        <v/>
      </c>
      <c r="BJ26" s="3">
        <f>SUM(BJ15:BJ20)+BJ23+BJ24+BJ25</f>
        <v/>
      </c>
    </row>
    <row r="27">
      <c r="A27" s="18" t="inlineStr">
        <is>
          <t>EBITDA</t>
        </is>
      </c>
      <c r="C27" s="3">
        <f>C14-C26</f>
        <v/>
      </c>
      <c r="D27" s="3">
        <f>D14-D26</f>
        <v/>
      </c>
      <c r="E27" s="3">
        <f>E14-E26</f>
        <v/>
      </c>
      <c r="F27" s="3">
        <f>F14-F26</f>
        <v/>
      </c>
      <c r="G27" s="3">
        <f>G14-G26</f>
        <v/>
      </c>
      <c r="H27" s="3">
        <f>H14-H26</f>
        <v/>
      </c>
      <c r="I27" s="3">
        <f>I14-I26</f>
        <v/>
      </c>
      <c r="J27" s="3">
        <f>J14-J26</f>
        <v/>
      </c>
      <c r="K27" s="3">
        <f>K14-K26</f>
        <v/>
      </c>
      <c r="L27" s="3">
        <f>L14-L26</f>
        <v/>
      </c>
      <c r="M27" s="3">
        <f>M14-M26</f>
        <v/>
      </c>
      <c r="N27" s="3">
        <f>N14-N26</f>
        <v/>
      </c>
      <c r="O27" s="3">
        <f>O14-O26</f>
        <v/>
      </c>
      <c r="P27" s="3">
        <f>P14-P26</f>
        <v/>
      </c>
      <c r="Q27" s="3">
        <f>Q14-Q26</f>
        <v/>
      </c>
      <c r="R27" s="3">
        <f>R14-R26</f>
        <v/>
      </c>
      <c r="S27" s="3">
        <f>S14-S26</f>
        <v/>
      </c>
      <c r="T27" s="3">
        <f>T14-T26</f>
        <v/>
      </c>
      <c r="U27" s="3">
        <f>U14-U26</f>
        <v/>
      </c>
      <c r="V27" s="3">
        <f>V14-V26</f>
        <v/>
      </c>
      <c r="W27" s="3">
        <f>W14-W26</f>
        <v/>
      </c>
      <c r="X27" s="3">
        <f>X14-X26</f>
        <v/>
      </c>
      <c r="Y27" s="3">
        <f>Y14-Y26</f>
        <v/>
      </c>
      <c r="Z27" s="3">
        <f>Z14-Z26</f>
        <v/>
      </c>
      <c r="AA27" s="3">
        <f>AA14-AA26</f>
        <v/>
      </c>
      <c r="AB27" s="3">
        <f>AB14-AB26</f>
        <v/>
      </c>
      <c r="AC27" s="3">
        <f>AC14-AC26</f>
        <v/>
      </c>
      <c r="AD27" s="3">
        <f>AD14-AD26</f>
        <v/>
      </c>
      <c r="AE27" s="3">
        <f>AE14-AE26</f>
        <v/>
      </c>
      <c r="AF27" s="3">
        <f>AF14-AF26</f>
        <v/>
      </c>
      <c r="AG27" s="3">
        <f>AG14-AG26</f>
        <v/>
      </c>
      <c r="AH27" s="3">
        <f>AH14-AH26</f>
        <v/>
      </c>
      <c r="AI27" s="3">
        <f>AI14-AI26</f>
        <v/>
      </c>
      <c r="AJ27" s="3">
        <f>AJ14-AJ26</f>
        <v/>
      </c>
      <c r="AK27" s="3">
        <f>AK14-AK26</f>
        <v/>
      </c>
      <c r="AL27" s="3">
        <f>AL14-AL26</f>
        <v/>
      </c>
      <c r="AM27" s="3">
        <f>AM14-AM26</f>
        <v/>
      </c>
      <c r="AN27" s="3">
        <f>AN14-AN26</f>
        <v/>
      </c>
      <c r="AO27" s="3">
        <f>AO14-AO26</f>
        <v/>
      </c>
      <c r="AP27" s="3">
        <f>AP14-AP26</f>
        <v/>
      </c>
      <c r="AQ27" s="3">
        <f>AQ14-AQ26</f>
        <v/>
      </c>
      <c r="AR27" s="3">
        <f>AR14-AR26</f>
        <v/>
      </c>
      <c r="AS27" s="3">
        <f>AS14-AS26</f>
        <v/>
      </c>
      <c r="AT27" s="3">
        <f>AT14-AT26</f>
        <v/>
      </c>
      <c r="AU27" s="3">
        <f>AU14-AU26</f>
        <v/>
      </c>
      <c r="AV27" s="3">
        <f>AV14-AV26</f>
        <v/>
      </c>
      <c r="AW27" s="3">
        <f>AW14-AW26</f>
        <v/>
      </c>
      <c r="AX27" s="3">
        <f>AX14-AX26</f>
        <v/>
      </c>
      <c r="AY27" s="3">
        <f>AY14-AY26</f>
        <v/>
      </c>
      <c r="AZ27" s="3">
        <f>AZ14-AZ26</f>
        <v/>
      </c>
      <c r="BA27" s="3">
        <f>BA14-BA26</f>
        <v/>
      </c>
      <c r="BB27" s="3">
        <f>BB14-BB26</f>
        <v/>
      </c>
      <c r="BC27" s="3">
        <f>BC14-BC26</f>
        <v/>
      </c>
      <c r="BD27" s="3">
        <f>BD14-BD26</f>
        <v/>
      </c>
      <c r="BE27" s="3">
        <f>BE14-BE26</f>
        <v/>
      </c>
      <c r="BF27" s="3">
        <f>BF14-BF26</f>
        <v/>
      </c>
      <c r="BG27" s="3">
        <f>BG14-BG26</f>
        <v/>
      </c>
      <c r="BH27" s="3">
        <f>BH14-BH26</f>
        <v/>
      </c>
      <c r="BI27" s="3">
        <f>BI14-BI26</f>
        <v/>
      </c>
      <c r="BJ27" s="3">
        <f>BJ14-BJ26</f>
        <v/>
      </c>
    </row>
    <row r="28">
      <c r="A28" t="inlineStr">
        <is>
          <t>Depreciation</t>
        </is>
      </c>
      <c r="C28" s="3">
        <f>IF(AND(Inputs!$E$84&gt;0,C3&lt;=Inputs!$E$84*12),INDEX(Capex!$C$19:$E$19,1,Inputs!$E$13)/MAX(Inputs!$E$84,1)/12,0)+IF(AND(Inputs!$E$85&gt;0,C3&lt;=Inputs!$E$85*12),INDEX(Capex!$C$20:$E$20,1,Inputs!$E$13)/MAX(Inputs!$E$85,1)/12,0)+IF(AND(Inputs!$E$86&gt;0,C3&lt;=Inputs!$E$86*12),INDEX(Capex!$C$21:$E$21,1,Inputs!$E$13)/MAX(Inputs!$E$86,1)/12,0)+IF(AND(Inputs!$E$87&gt;0,C3&lt;=Inputs!$E$87*12),INDEX(Capex!$C$22:$E$22,1,Inputs!$E$13)/MAX(Inputs!$E$87,1)/12,0)+IF(AND(Inputs!$E$88&gt;0,C3&lt;=Inputs!$E$88*12),INDEX(Capex!$C$23:$E$23,1,Inputs!$E$13)/MAX(Inputs!$E$88,1)/12,0)+IF(AND(Inputs!$E$89&gt;0,C3&lt;=Inputs!$E$89*12),INDEX(Capex!$C$24:$E$24,1,Inputs!$E$13)/MAX(Inputs!$E$89,1)/12,0)+IF(AND(Inputs!$E$90&gt;0,C3&lt;=Inputs!$E$90*12),INDEX(Capex!$C$25:$E$25,1,Inputs!$E$13)/MAX(Inputs!$E$90,1)/12,0)</f>
        <v/>
      </c>
      <c r="D28" s="3">
        <f>IF(AND(Inputs!$E$84&gt;0,D3&lt;=Inputs!$E$84*12),INDEX(Capex!$C$19:$E$19,1,Inputs!$E$13)/MAX(Inputs!$E$84,1)/12,0)+IF(AND(Inputs!$E$85&gt;0,D3&lt;=Inputs!$E$85*12),INDEX(Capex!$C$20:$E$20,1,Inputs!$E$13)/MAX(Inputs!$E$85,1)/12,0)+IF(AND(Inputs!$E$86&gt;0,D3&lt;=Inputs!$E$86*12),INDEX(Capex!$C$21:$E$21,1,Inputs!$E$13)/MAX(Inputs!$E$86,1)/12,0)+IF(AND(Inputs!$E$87&gt;0,D3&lt;=Inputs!$E$87*12),INDEX(Capex!$C$22:$E$22,1,Inputs!$E$13)/MAX(Inputs!$E$87,1)/12,0)+IF(AND(Inputs!$E$88&gt;0,D3&lt;=Inputs!$E$88*12),INDEX(Capex!$C$23:$E$23,1,Inputs!$E$13)/MAX(Inputs!$E$88,1)/12,0)+IF(AND(Inputs!$E$89&gt;0,D3&lt;=Inputs!$E$89*12),INDEX(Capex!$C$24:$E$24,1,Inputs!$E$13)/MAX(Inputs!$E$89,1)/12,0)+IF(AND(Inputs!$E$90&gt;0,D3&lt;=Inputs!$E$90*12),INDEX(Capex!$C$25:$E$25,1,Inputs!$E$13)/MAX(Inputs!$E$90,1)/12,0)</f>
        <v/>
      </c>
      <c r="E28" s="3">
        <f>IF(AND(Inputs!$E$84&gt;0,E3&lt;=Inputs!$E$84*12),INDEX(Capex!$C$19:$E$19,1,Inputs!$E$13)/MAX(Inputs!$E$84,1)/12,0)+IF(AND(Inputs!$E$85&gt;0,E3&lt;=Inputs!$E$85*12),INDEX(Capex!$C$20:$E$20,1,Inputs!$E$13)/MAX(Inputs!$E$85,1)/12,0)+IF(AND(Inputs!$E$86&gt;0,E3&lt;=Inputs!$E$86*12),INDEX(Capex!$C$21:$E$21,1,Inputs!$E$13)/MAX(Inputs!$E$86,1)/12,0)+IF(AND(Inputs!$E$87&gt;0,E3&lt;=Inputs!$E$87*12),INDEX(Capex!$C$22:$E$22,1,Inputs!$E$13)/MAX(Inputs!$E$87,1)/12,0)+IF(AND(Inputs!$E$88&gt;0,E3&lt;=Inputs!$E$88*12),INDEX(Capex!$C$23:$E$23,1,Inputs!$E$13)/MAX(Inputs!$E$88,1)/12,0)+IF(AND(Inputs!$E$89&gt;0,E3&lt;=Inputs!$E$89*12),INDEX(Capex!$C$24:$E$24,1,Inputs!$E$13)/MAX(Inputs!$E$89,1)/12,0)+IF(AND(Inputs!$E$90&gt;0,E3&lt;=Inputs!$E$90*12),INDEX(Capex!$C$25:$E$25,1,Inputs!$E$13)/MAX(Inputs!$E$90,1)/12,0)</f>
        <v/>
      </c>
      <c r="F28" s="3">
        <f>IF(AND(Inputs!$E$84&gt;0,F3&lt;=Inputs!$E$84*12),INDEX(Capex!$C$19:$E$19,1,Inputs!$E$13)/MAX(Inputs!$E$84,1)/12,0)+IF(AND(Inputs!$E$85&gt;0,F3&lt;=Inputs!$E$85*12),INDEX(Capex!$C$20:$E$20,1,Inputs!$E$13)/MAX(Inputs!$E$85,1)/12,0)+IF(AND(Inputs!$E$86&gt;0,F3&lt;=Inputs!$E$86*12),INDEX(Capex!$C$21:$E$21,1,Inputs!$E$13)/MAX(Inputs!$E$86,1)/12,0)+IF(AND(Inputs!$E$87&gt;0,F3&lt;=Inputs!$E$87*12),INDEX(Capex!$C$22:$E$22,1,Inputs!$E$13)/MAX(Inputs!$E$87,1)/12,0)+IF(AND(Inputs!$E$88&gt;0,F3&lt;=Inputs!$E$88*12),INDEX(Capex!$C$23:$E$23,1,Inputs!$E$13)/MAX(Inputs!$E$88,1)/12,0)+IF(AND(Inputs!$E$89&gt;0,F3&lt;=Inputs!$E$89*12),INDEX(Capex!$C$24:$E$24,1,Inputs!$E$13)/MAX(Inputs!$E$89,1)/12,0)+IF(AND(Inputs!$E$90&gt;0,F3&lt;=Inputs!$E$90*12),INDEX(Capex!$C$25:$E$25,1,Inputs!$E$13)/MAX(Inputs!$E$90,1)/12,0)</f>
        <v/>
      </c>
      <c r="G28" s="3">
        <f>IF(AND(Inputs!$E$84&gt;0,G3&lt;=Inputs!$E$84*12),INDEX(Capex!$C$19:$E$19,1,Inputs!$E$13)/MAX(Inputs!$E$84,1)/12,0)+IF(AND(Inputs!$E$85&gt;0,G3&lt;=Inputs!$E$85*12),INDEX(Capex!$C$20:$E$20,1,Inputs!$E$13)/MAX(Inputs!$E$85,1)/12,0)+IF(AND(Inputs!$E$86&gt;0,G3&lt;=Inputs!$E$86*12),INDEX(Capex!$C$21:$E$21,1,Inputs!$E$13)/MAX(Inputs!$E$86,1)/12,0)+IF(AND(Inputs!$E$87&gt;0,G3&lt;=Inputs!$E$87*12),INDEX(Capex!$C$22:$E$22,1,Inputs!$E$13)/MAX(Inputs!$E$87,1)/12,0)+IF(AND(Inputs!$E$88&gt;0,G3&lt;=Inputs!$E$88*12),INDEX(Capex!$C$23:$E$23,1,Inputs!$E$13)/MAX(Inputs!$E$88,1)/12,0)+IF(AND(Inputs!$E$89&gt;0,G3&lt;=Inputs!$E$89*12),INDEX(Capex!$C$24:$E$24,1,Inputs!$E$13)/MAX(Inputs!$E$89,1)/12,0)+IF(AND(Inputs!$E$90&gt;0,G3&lt;=Inputs!$E$90*12),INDEX(Capex!$C$25:$E$25,1,Inputs!$E$13)/MAX(Inputs!$E$90,1)/12,0)</f>
        <v/>
      </c>
      <c r="H28" s="3">
        <f>IF(AND(Inputs!$E$84&gt;0,H3&lt;=Inputs!$E$84*12),INDEX(Capex!$C$19:$E$19,1,Inputs!$E$13)/MAX(Inputs!$E$84,1)/12,0)+IF(AND(Inputs!$E$85&gt;0,H3&lt;=Inputs!$E$85*12),INDEX(Capex!$C$20:$E$20,1,Inputs!$E$13)/MAX(Inputs!$E$85,1)/12,0)+IF(AND(Inputs!$E$86&gt;0,H3&lt;=Inputs!$E$86*12),INDEX(Capex!$C$21:$E$21,1,Inputs!$E$13)/MAX(Inputs!$E$86,1)/12,0)+IF(AND(Inputs!$E$87&gt;0,H3&lt;=Inputs!$E$87*12),INDEX(Capex!$C$22:$E$22,1,Inputs!$E$13)/MAX(Inputs!$E$87,1)/12,0)+IF(AND(Inputs!$E$88&gt;0,H3&lt;=Inputs!$E$88*12),INDEX(Capex!$C$23:$E$23,1,Inputs!$E$13)/MAX(Inputs!$E$88,1)/12,0)+IF(AND(Inputs!$E$89&gt;0,H3&lt;=Inputs!$E$89*12),INDEX(Capex!$C$24:$E$24,1,Inputs!$E$13)/MAX(Inputs!$E$89,1)/12,0)+IF(AND(Inputs!$E$90&gt;0,H3&lt;=Inputs!$E$90*12),INDEX(Capex!$C$25:$E$25,1,Inputs!$E$13)/MAX(Inputs!$E$90,1)/12,0)</f>
        <v/>
      </c>
      <c r="I28" s="3">
        <f>IF(AND(Inputs!$E$84&gt;0,I3&lt;=Inputs!$E$84*12),INDEX(Capex!$C$19:$E$19,1,Inputs!$E$13)/MAX(Inputs!$E$84,1)/12,0)+IF(AND(Inputs!$E$85&gt;0,I3&lt;=Inputs!$E$85*12),INDEX(Capex!$C$20:$E$20,1,Inputs!$E$13)/MAX(Inputs!$E$85,1)/12,0)+IF(AND(Inputs!$E$86&gt;0,I3&lt;=Inputs!$E$86*12),INDEX(Capex!$C$21:$E$21,1,Inputs!$E$13)/MAX(Inputs!$E$86,1)/12,0)+IF(AND(Inputs!$E$87&gt;0,I3&lt;=Inputs!$E$87*12),INDEX(Capex!$C$22:$E$22,1,Inputs!$E$13)/MAX(Inputs!$E$87,1)/12,0)+IF(AND(Inputs!$E$88&gt;0,I3&lt;=Inputs!$E$88*12),INDEX(Capex!$C$23:$E$23,1,Inputs!$E$13)/MAX(Inputs!$E$88,1)/12,0)+IF(AND(Inputs!$E$89&gt;0,I3&lt;=Inputs!$E$89*12),INDEX(Capex!$C$24:$E$24,1,Inputs!$E$13)/MAX(Inputs!$E$89,1)/12,0)+IF(AND(Inputs!$E$90&gt;0,I3&lt;=Inputs!$E$90*12),INDEX(Capex!$C$25:$E$25,1,Inputs!$E$13)/MAX(Inputs!$E$90,1)/12,0)</f>
        <v/>
      </c>
      <c r="J28" s="3">
        <f>IF(AND(Inputs!$E$84&gt;0,J3&lt;=Inputs!$E$84*12),INDEX(Capex!$C$19:$E$19,1,Inputs!$E$13)/MAX(Inputs!$E$84,1)/12,0)+IF(AND(Inputs!$E$85&gt;0,J3&lt;=Inputs!$E$85*12),INDEX(Capex!$C$20:$E$20,1,Inputs!$E$13)/MAX(Inputs!$E$85,1)/12,0)+IF(AND(Inputs!$E$86&gt;0,J3&lt;=Inputs!$E$86*12),INDEX(Capex!$C$21:$E$21,1,Inputs!$E$13)/MAX(Inputs!$E$86,1)/12,0)+IF(AND(Inputs!$E$87&gt;0,J3&lt;=Inputs!$E$87*12),INDEX(Capex!$C$22:$E$22,1,Inputs!$E$13)/MAX(Inputs!$E$87,1)/12,0)+IF(AND(Inputs!$E$88&gt;0,J3&lt;=Inputs!$E$88*12),INDEX(Capex!$C$23:$E$23,1,Inputs!$E$13)/MAX(Inputs!$E$88,1)/12,0)+IF(AND(Inputs!$E$89&gt;0,J3&lt;=Inputs!$E$89*12),INDEX(Capex!$C$24:$E$24,1,Inputs!$E$13)/MAX(Inputs!$E$89,1)/12,0)+IF(AND(Inputs!$E$90&gt;0,J3&lt;=Inputs!$E$90*12),INDEX(Capex!$C$25:$E$25,1,Inputs!$E$13)/MAX(Inputs!$E$90,1)/12,0)</f>
        <v/>
      </c>
      <c r="K28" s="3">
        <f>IF(AND(Inputs!$E$84&gt;0,K3&lt;=Inputs!$E$84*12),INDEX(Capex!$C$19:$E$19,1,Inputs!$E$13)/MAX(Inputs!$E$84,1)/12,0)+IF(AND(Inputs!$E$85&gt;0,K3&lt;=Inputs!$E$85*12),INDEX(Capex!$C$20:$E$20,1,Inputs!$E$13)/MAX(Inputs!$E$85,1)/12,0)+IF(AND(Inputs!$E$86&gt;0,K3&lt;=Inputs!$E$86*12),INDEX(Capex!$C$21:$E$21,1,Inputs!$E$13)/MAX(Inputs!$E$86,1)/12,0)+IF(AND(Inputs!$E$87&gt;0,K3&lt;=Inputs!$E$87*12),INDEX(Capex!$C$22:$E$22,1,Inputs!$E$13)/MAX(Inputs!$E$87,1)/12,0)+IF(AND(Inputs!$E$88&gt;0,K3&lt;=Inputs!$E$88*12),INDEX(Capex!$C$23:$E$23,1,Inputs!$E$13)/MAX(Inputs!$E$88,1)/12,0)+IF(AND(Inputs!$E$89&gt;0,K3&lt;=Inputs!$E$89*12),INDEX(Capex!$C$24:$E$24,1,Inputs!$E$13)/MAX(Inputs!$E$89,1)/12,0)+IF(AND(Inputs!$E$90&gt;0,K3&lt;=Inputs!$E$90*12),INDEX(Capex!$C$25:$E$25,1,Inputs!$E$13)/MAX(Inputs!$E$90,1)/12,0)</f>
        <v/>
      </c>
      <c r="L28" s="3">
        <f>IF(AND(Inputs!$E$84&gt;0,L3&lt;=Inputs!$E$84*12),INDEX(Capex!$C$19:$E$19,1,Inputs!$E$13)/MAX(Inputs!$E$84,1)/12,0)+IF(AND(Inputs!$E$85&gt;0,L3&lt;=Inputs!$E$85*12),INDEX(Capex!$C$20:$E$20,1,Inputs!$E$13)/MAX(Inputs!$E$85,1)/12,0)+IF(AND(Inputs!$E$86&gt;0,L3&lt;=Inputs!$E$86*12),INDEX(Capex!$C$21:$E$21,1,Inputs!$E$13)/MAX(Inputs!$E$86,1)/12,0)+IF(AND(Inputs!$E$87&gt;0,L3&lt;=Inputs!$E$87*12),INDEX(Capex!$C$22:$E$22,1,Inputs!$E$13)/MAX(Inputs!$E$87,1)/12,0)+IF(AND(Inputs!$E$88&gt;0,L3&lt;=Inputs!$E$88*12),INDEX(Capex!$C$23:$E$23,1,Inputs!$E$13)/MAX(Inputs!$E$88,1)/12,0)+IF(AND(Inputs!$E$89&gt;0,L3&lt;=Inputs!$E$89*12),INDEX(Capex!$C$24:$E$24,1,Inputs!$E$13)/MAX(Inputs!$E$89,1)/12,0)+IF(AND(Inputs!$E$90&gt;0,L3&lt;=Inputs!$E$90*12),INDEX(Capex!$C$25:$E$25,1,Inputs!$E$13)/MAX(Inputs!$E$90,1)/12,0)</f>
        <v/>
      </c>
      <c r="M28" s="3">
        <f>IF(AND(Inputs!$E$84&gt;0,M3&lt;=Inputs!$E$84*12),INDEX(Capex!$C$19:$E$19,1,Inputs!$E$13)/MAX(Inputs!$E$84,1)/12,0)+IF(AND(Inputs!$E$85&gt;0,M3&lt;=Inputs!$E$85*12),INDEX(Capex!$C$20:$E$20,1,Inputs!$E$13)/MAX(Inputs!$E$85,1)/12,0)+IF(AND(Inputs!$E$86&gt;0,M3&lt;=Inputs!$E$86*12),INDEX(Capex!$C$21:$E$21,1,Inputs!$E$13)/MAX(Inputs!$E$86,1)/12,0)+IF(AND(Inputs!$E$87&gt;0,M3&lt;=Inputs!$E$87*12),INDEX(Capex!$C$22:$E$22,1,Inputs!$E$13)/MAX(Inputs!$E$87,1)/12,0)+IF(AND(Inputs!$E$88&gt;0,M3&lt;=Inputs!$E$88*12),INDEX(Capex!$C$23:$E$23,1,Inputs!$E$13)/MAX(Inputs!$E$88,1)/12,0)+IF(AND(Inputs!$E$89&gt;0,M3&lt;=Inputs!$E$89*12),INDEX(Capex!$C$24:$E$24,1,Inputs!$E$13)/MAX(Inputs!$E$89,1)/12,0)+IF(AND(Inputs!$E$90&gt;0,M3&lt;=Inputs!$E$90*12),INDEX(Capex!$C$25:$E$25,1,Inputs!$E$13)/MAX(Inputs!$E$90,1)/12,0)</f>
        <v/>
      </c>
      <c r="N28" s="3">
        <f>IF(AND(Inputs!$E$84&gt;0,N3&lt;=Inputs!$E$84*12),INDEX(Capex!$C$19:$E$19,1,Inputs!$E$13)/MAX(Inputs!$E$84,1)/12,0)+IF(AND(Inputs!$E$85&gt;0,N3&lt;=Inputs!$E$85*12),INDEX(Capex!$C$20:$E$20,1,Inputs!$E$13)/MAX(Inputs!$E$85,1)/12,0)+IF(AND(Inputs!$E$86&gt;0,N3&lt;=Inputs!$E$86*12),INDEX(Capex!$C$21:$E$21,1,Inputs!$E$13)/MAX(Inputs!$E$86,1)/12,0)+IF(AND(Inputs!$E$87&gt;0,N3&lt;=Inputs!$E$87*12),INDEX(Capex!$C$22:$E$22,1,Inputs!$E$13)/MAX(Inputs!$E$87,1)/12,0)+IF(AND(Inputs!$E$88&gt;0,N3&lt;=Inputs!$E$88*12),INDEX(Capex!$C$23:$E$23,1,Inputs!$E$13)/MAX(Inputs!$E$88,1)/12,0)+IF(AND(Inputs!$E$89&gt;0,N3&lt;=Inputs!$E$89*12),INDEX(Capex!$C$24:$E$24,1,Inputs!$E$13)/MAX(Inputs!$E$89,1)/12,0)+IF(AND(Inputs!$E$90&gt;0,N3&lt;=Inputs!$E$90*12),INDEX(Capex!$C$25:$E$25,1,Inputs!$E$13)/MAX(Inputs!$E$90,1)/12,0)</f>
        <v/>
      </c>
      <c r="O28" s="3">
        <f>IF(AND(Inputs!$E$84&gt;0,O3&lt;=Inputs!$E$84*12),INDEX(Capex!$C$19:$E$19,1,Inputs!$E$13)/MAX(Inputs!$E$84,1)/12,0)+IF(AND(Inputs!$E$85&gt;0,O3&lt;=Inputs!$E$85*12),INDEX(Capex!$C$20:$E$20,1,Inputs!$E$13)/MAX(Inputs!$E$85,1)/12,0)+IF(AND(Inputs!$E$86&gt;0,O3&lt;=Inputs!$E$86*12),INDEX(Capex!$C$21:$E$21,1,Inputs!$E$13)/MAX(Inputs!$E$86,1)/12,0)+IF(AND(Inputs!$E$87&gt;0,O3&lt;=Inputs!$E$87*12),INDEX(Capex!$C$22:$E$22,1,Inputs!$E$13)/MAX(Inputs!$E$87,1)/12,0)+IF(AND(Inputs!$E$88&gt;0,O3&lt;=Inputs!$E$88*12),INDEX(Capex!$C$23:$E$23,1,Inputs!$E$13)/MAX(Inputs!$E$88,1)/12,0)+IF(AND(Inputs!$E$89&gt;0,O3&lt;=Inputs!$E$89*12),INDEX(Capex!$C$24:$E$24,1,Inputs!$E$13)/MAX(Inputs!$E$89,1)/12,0)+IF(AND(Inputs!$E$90&gt;0,O3&lt;=Inputs!$E$90*12),INDEX(Capex!$C$25:$E$25,1,Inputs!$E$13)/MAX(Inputs!$E$90,1)/12,0)</f>
        <v/>
      </c>
      <c r="P28" s="3">
        <f>IF(AND(Inputs!$E$84&gt;0,P3&lt;=Inputs!$E$84*12),INDEX(Capex!$C$19:$E$19,1,Inputs!$E$13)/MAX(Inputs!$E$84,1)/12,0)+IF(AND(Inputs!$E$85&gt;0,P3&lt;=Inputs!$E$85*12),INDEX(Capex!$C$20:$E$20,1,Inputs!$E$13)/MAX(Inputs!$E$85,1)/12,0)+IF(AND(Inputs!$E$86&gt;0,P3&lt;=Inputs!$E$86*12),INDEX(Capex!$C$21:$E$21,1,Inputs!$E$13)/MAX(Inputs!$E$86,1)/12,0)+IF(AND(Inputs!$E$87&gt;0,P3&lt;=Inputs!$E$87*12),INDEX(Capex!$C$22:$E$22,1,Inputs!$E$13)/MAX(Inputs!$E$87,1)/12,0)+IF(AND(Inputs!$E$88&gt;0,P3&lt;=Inputs!$E$88*12),INDEX(Capex!$C$23:$E$23,1,Inputs!$E$13)/MAX(Inputs!$E$88,1)/12,0)+IF(AND(Inputs!$E$89&gt;0,P3&lt;=Inputs!$E$89*12),INDEX(Capex!$C$24:$E$24,1,Inputs!$E$13)/MAX(Inputs!$E$89,1)/12,0)+IF(AND(Inputs!$E$90&gt;0,P3&lt;=Inputs!$E$90*12),INDEX(Capex!$C$25:$E$25,1,Inputs!$E$13)/MAX(Inputs!$E$90,1)/12,0)</f>
        <v/>
      </c>
      <c r="Q28" s="3">
        <f>IF(AND(Inputs!$E$84&gt;0,Q3&lt;=Inputs!$E$84*12),INDEX(Capex!$C$19:$E$19,1,Inputs!$E$13)/MAX(Inputs!$E$84,1)/12,0)+IF(AND(Inputs!$E$85&gt;0,Q3&lt;=Inputs!$E$85*12),INDEX(Capex!$C$20:$E$20,1,Inputs!$E$13)/MAX(Inputs!$E$85,1)/12,0)+IF(AND(Inputs!$E$86&gt;0,Q3&lt;=Inputs!$E$86*12),INDEX(Capex!$C$21:$E$21,1,Inputs!$E$13)/MAX(Inputs!$E$86,1)/12,0)+IF(AND(Inputs!$E$87&gt;0,Q3&lt;=Inputs!$E$87*12),INDEX(Capex!$C$22:$E$22,1,Inputs!$E$13)/MAX(Inputs!$E$87,1)/12,0)+IF(AND(Inputs!$E$88&gt;0,Q3&lt;=Inputs!$E$88*12),INDEX(Capex!$C$23:$E$23,1,Inputs!$E$13)/MAX(Inputs!$E$88,1)/12,0)+IF(AND(Inputs!$E$89&gt;0,Q3&lt;=Inputs!$E$89*12),INDEX(Capex!$C$24:$E$24,1,Inputs!$E$13)/MAX(Inputs!$E$89,1)/12,0)+IF(AND(Inputs!$E$90&gt;0,Q3&lt;=Inputs!$E$90*12),INDEX(Capex!$C$25:$E$25,1,Inputs!$E$13)/MAX(Inputs!$E$90,1)/12,0)</f>
        <v/>
      </c>
      <c r="R28" s="3">
        <f>IF(AND(Inputs!$E$84&gt;0,R3&lt;=Inputs!$E$84*12),INDEX(Capex!$C$19:$E$19,1,Inputs!$E$13)/MAX(Inputs!$E$84,1)/12,0)+IF(AND(Inputs!$E$85&gt;0,R3&lt;=Inputs!$E$85*12),INDEX(Capex!$C$20:$E$20,1,Inputs!$E$13)/MAX(Inputs!$E$85,1)/12,0)+IF(AND(Inputs!$E$86&gt;0,R3&lt;=Inputs!$E$86*12),INDEX(Capex!$C$21:$E$21,1,Inputs!$E$13)/MAX(Inputs!$E$86,1)/12,0)+IF(AND(Inputs!$E$87&gt;0,R3&lt;=Inputs!$E$87*12),INDEX(Capex!$C$22:$E$22,1,Inputs!$E$13)/MAX(Inputs!$E$87,1)/12,0)+IF(AND(Inputs!$E$88&gt;0,R3&lt;=Inputs!$E$88*12),INDEX(Capex!$C$23:$E$23,1,Inputs!$E$13)/MAX(Inputs!$E$88,1)/12,0)+IF(AND(Inputs!$E$89&gt;0,R3&lt;=Inputs!$E$89*12),INDEX(Capex!$C$24:$E$24,1,Inputs!$E$13)/MAX(Inputs!$E$89,1)/12,0)+IF(AND(Inputs!$E$90&gt;0,R3&lt;=Inputs!$E$90*12),INDEX(Capex!$C$25:$E$25,1,Inputs!$E$13)/MAX(Inputs!$E$90,1)/12,0)</f>
        <v/>
      </c>
      <c r="S28" s="3">
        <f>IF(AND(Inputs!$E$84&gt;0,S3&lt;=Inputs!$E$84*12),INDEX(Capex!$C$19:$E$19,1,Inputs!$E$13)/MAX(Inputs!$E$84,1)/12,0)+IF(AND(Inputs!$E$85&gt;0,S3&lt;=Inputs!$E$85*12),INDEX(Capex!$C$20:$E$20,1,Inputs!$E$13)/MAX(Inputs!$E$85,1)/12,0)+IF(AND(Inputs!$E$86&gt;0,S3&lt;=Inputs!$E$86*12),INDEX(Capex!$C$21:$E$21,1,Inputs!$E$13)/MAX(Inputs!$E$86,1)/12,0)+IF(AND(Inputs!$E$87&gt;0,S3&lt;=Inputs!$E$87*12),INDEX(Capex!$C$22:$E$22,1,Inputs!$E$13)/MAX(Inputs!$E$87,1)/12,0)+IF(AND(Inputs!$E$88&gt;0,S3&lt;=Inputs!$E$88*12),INDEX(Capex!$C$23:$E$23,1,Inputs!$E$13)/MAX(Inputs!$E$88,1)/12,0)+IF(AND(Inputs!$E$89&gt;0,S3&lt;=Inputs!$E$89*12),INDEX(Capex!$C$24:$E$24,1,Inputs!$E$13)/MAX(Inputs!$E$89,1)/12,0)+IF(AND(Inputs!$E$90&gt;0,S3&lt;=Inputs!$E$90*12),INDEX(Capex!$C$25:$E$25,1,Inputs!$E$13)/MAX(Inputs!$E$90,1)/12,0)</f>
        <v/>
      </c>
      <c r="T28" s="3">
        <f>IF(AND(Inputs!$E$84&gt;0,T3&lt;=Inputs!$E$84*12),INDEX(Capex!$C$19:$E$19,1,Inputs!$E$13)/MAX(Inputs!$E$84,1)/12,0)+IF(AND(Inputs!$E$85&gt;0,T3&lt;=Inputs!$E$85*12),INDEX(Capex!$C$20:$E$20,1,Inputs!$E$13)/MAX(Inputs!$E$85,1)/12,0)+IF(AND(Inputs!$E$86&gt;0,T3&lt;=Inputs!$E$86*12),INDEX(Capex!$C$21:$E$21,1,Inputs!$E$13)/MAX(Inputs!$E$86,1)/12,0)+IF(AND(Inputs!$E$87&gt;0,T3&lt;=Inputs!$E$87*12),INDEX(Capex!$C$22:$E$22,1,Inputs!$E$13)/MAX(Inputs!$E$87,1)/12,0)+IF(AND(Inputs!$E$88&gt;0,T3&lt;=Inputs!$E$88*12),INDEX(Capex!$C$23:$E$23,1,Inputs!$E$13)/MAX(Inputs!$E$88,1)/12,0)+IF(AND(Inputs!$E$89&gt;0,T3&lt;=Inputs!$E$89*12),INDEX(Capex!$C$24:$E$24,1,Inputs!$E$13)/MAX(Inputs!$E$89,1)/12,0)+IF(AND(Inputs!$E$90&gt;0,T3&lt;=Inputs!$E$90*12),INDEX(Capex!$C$25:$E$25,1,Inputs!$E$13)/MAX(Inputs!$E$90,1)/12,0)</f>
        <v/>
      </c>
      <c r="U28" s="3">
        <f>IF(AND(Inputs!$E$84&gt;0,U3&lt;=Inputs!$E$84*12),INDEX(Capex!$C$19:$E$19,1,Inputs!$E$13)/MAX(Inputs!$E$84,1)/12,0)+IF(AND(Inputs!$E$85&gt;0,U3&lt;=Inputs!$E$85*12),INDEX(Capex!$C$20:$E$20,1,Inputs!$E$13)/MAX(Inputs!$E$85,1)/12,0)+IF(AND(Inputs!$E$86&gt;0,U3&lt;=Inputs!$E$86*12),INDEX(Capex!$C$21:$E$21,1,Inputs!$E$13)/MAX(Inputs!$E$86,1)/12,0)+IF(AND(Inputs!$E$87&gt;0,U3&lt;=Inputs!$E$87*12),INDEX(Capex!$C$22:$E$22,1,Inputs!$E$13)/MAX(Inputs!$E$87,1)/12,0)+IF(AND(Inputs!$E$88&gt;0,U3&lt;=Inputs!$E$88*12),INDEX(Capex!$C$23:$E$23,1,Inputs!$E$13)/MAX(Inputs!$E$88,1)/12,0)+IF(AND(Inputs!$E$89&gt;0,U3&lt;=Inputs!$E$89*12),INDEX(Capex!$C$24:$E$24,1,Inputs!$E$13)/MAX(Inputs!$E$89,1)/12,0)+IF(AND(Inputs!$E$90&gt;0,U3&lt;=Inputs!$E$90*12),INDEX(Capex!$C$25:$E$25,1,Inputs!$E$13)/MAX(Inputs!$E$90,1)/12,0)</f>
        <v/>
      </c>
      <c r="V28" s="3">
        <f>IF(AND(Inputs!$E$84&gt;0,V3&lt;=Inputs!$E$84*12),INDEX(Capex!$C$19:$E$19,1,Inputs!$E$13)/MAX(Inputs!$E$84,1)/12,0)+IF(AND(Inputs!$E$85&gt;0,V3&lt;=Inputs!$E$85*12),INDEX(Capex!$C$20:$E$20,1,Inputs!$E$13)/MAX(Inputs!$E$85,1)/12,0)+IF(AND(Inputs!$E$86&gt;0,V3&lt;=Inputs!$E$86*12),INDEX(Capex!$C$21:$E$21,1,Inputs!$E$13)/MAX(Inputs!$E$86,1)/12,0)+IF(AND(Inputs!$E$87&gt;0,V3&lt;=Inputs!$E$87*12),INDEX(Capex!$C$22:$E$22,1,Inputs!$E$13)/MAX(Inputs!$E$87,1)/12,0)+IF(AND(Inputs!$E$88&gt;0,V3&lt;=Inputs!$E$88*12),INDEX(Capex!$C$23:$E$23,1,Inputs!$E$13)/MAX(Inputs!$E$88,1)/12,0)+IF(AND(Inputs!$E$89&gt;0,V3&lt;=Inputs!$E$89*12),INDEX(Capex!$C$24:$E$24,1,Inputs!$E$13)/MAX(Inputs!$E$89,1)/12,0)+IF(AND(Inputs!$E$90&gt;0,V3&lt;=Inputs!$E$90*12),INDEX(Capex!$C$25:$E$25,1,Inputs!$E$13)/MAX(Inputs!$E$90,1)/12,0)</f>
        <v/>
      </c>
      <c r="W28" s="3">
        <f>IF(AND(Inputs!$E$84&gt;0,W3&lt;=Inputs!$E$84*12),INDEX(Capex!$C$19:$E$19,1,Inputs!$E$13)/MAX(Inputs!$E$84,1)/12,0)+IF(AND(Inputs!$E$85&gt;0,W3&lt;=Inputs!$E$85*12),INDEX(Capex!$C$20:$E$20,1,Inputs!$E$13)/MAX(Inputs!$E$85,1)/12,0)+IF(AND(Inputs!$E$86&gt;0,W3&lt;=Inputs!$E$86*12),INDEX(Capex!$C$21:$E$21,1,Inputs!$E$13)/MAX(Inputs!$E$86,1)/12,0)+IF(AND(Inputs!$E$87&gt;0,W3&lt;=Inputs!$E$87*12),INDEX(Capex!$C$22:$E$22,1,Inputs!$E$13)/MAX(Inputs!$E$87,1)/12,0)+IF(AND(Inputs!$E$88&gt;0,W3&lt;=Inputs!$E$88*12),INDEX(Capex!$C$23:$E$23,1,Inputs!$E$13)/MAX(Inputs!$E$88,1)/12,0)+IF(AND(Inputs!$E$89&gt;0,W3&lt;=Inputs!$E$89*12),INDEX(Capex!$C$24:$E$24,1,Inputs!$E$13)/MAX(Inputs!$E$89,1)/12,0)+IF(AND(Inputs!$E$90&gt;0,W3&lt;=Inputs!$E$90*12),INDEX(Capex!$C$25:$E$25,1,Inputs!$E$13)/MAX(Inputs!$E$90,1)/12,0)</f>
        <v/>
      </c>
      <c r="X28" s="3">
        <f>IF(AND(Inputs!$E$84&gt;0,X3&lt;=Inputs!$E$84*12),INDEX(Capex!$C$19:$E$19,1,Inputs!$E$13)/MAX(Inputs!$E$84,1)/12,0)+IF(AND(Inputs!$E$85&gt;0,X3&lt;=Inputs!$E$85*12),INDEX(Capex!$C$20:$E$20,1,Inputs!$E$13)/MAX(Inputs!$E$85,1)/12,0)+IF(AND(Inputs!$E$86&gt;0,X3&lt;=Inputs!$E$86*12),INDEX(Capex!$C$21:$E$21,1,Inputs!$E$13)/MAX(Inputs!$E$86,1)/12,0)+IF(AND(Inputs!$E$87&gt;0,X3&lt;=Inputs!$E$87*12),INDEX(Capex!$C$22:$E$22,1,Inputs!$E$13)/MAX(Inputs!$E$87,1)/12,0)+IF(AND(Inputs!$E$88&gt;0,X3&lt;=Inputs!$E$88*12),INDEX(Capex!$C$23:$E$23,1,Inputs!$E$13)/MAX(Inputs!$E$88,1)/12,0)+IF(AND(Inputs!$E$89&gt;0,X3&lt;=Inputs!$E$89*12),INDEX(Capex!$C$24:$E$24,1,Inputs!$E$13)/MAX(Inputs!$E$89,1)/12,0)+IF(AND(Inputs!$E$90&gt;0,X3&lt;=Inputs!$E$90*12),INDEX(Capex!$C$25:$E$25,1,Inputs!$E$13)/MAX(Inputs!$E$90,1)/12,0)</f>
        <v/>
      </c>
      <c r="Y28" s="3">
        <f>IF(AND(Inputs!$E$84&gt;0,Y3&lt;=Inputs!$E$84*12),INDEX(Capex!$C$19:$E$19,1,Inputs!$E$13)/MAX(Inputs!$E$84,1)/12,0)+IF(AND(Inputs!$E$85&gt;0,Y3&lt;=Inputs!$E$85*12),INDEX(Capex!$C$20:$E$20,1,Inputs!$E$13)/MAX(Inputs!$E$85,1)/12,0)+IF(AND(Inputs!$E$86&gt;0,Y3&lt;=Inputs!$E$86*12),INDEX(Capex!$C$21:$E$21,1,Inputs!$E$13)/MAX(Inputs!$E$86,1)/12,0)+IF(AND(Inputs!$E$87&gt;0,Y3&lt;=Inputs!$E$87*12),INDEX(Capex!$C$22:$E$22,1,Inputs!$E$13)/MAX(Inputs!$E$87,1)/12,0)+IF(AND(Inputs!$E$88&gt;0,Y3&lt;=Inputs!$E$88*12),INDEX(Capex!$C$23:$E$23,1,Inputs!$E$13)/MAX(Inputs!$E$88,1)/12,0)+IF(AND(Inputs!$E$89&gt;0,Y3&lt;=Inputs!$E$89*12),INDEX(Capex!$C$24:$E$24,1,Inputs!$E$13)/MAX(Inputs!$E$89,1)/12,0)+IF(AND(Inputs!$E$90&gt;0,Y3&lt;=Inputs!$E$90*12),INDEX(Capex!$C$25:$E$25,1,Inputs!$E$13)/MAX(Inputs!$E$90,1)/12,0)</f>
        <v/>
      </c>
      <c r="Z28" s="3">
        <f>IF(AND(Inputs!$E$84&gt;0,Z3&lt;=Inputs!$E$84*12),INDEX(Capex!$C$19:$E$19,1,Inputs!$E$13)/MAX(Inputs!$E$84,1)/12,0)+IF(AND(Inputs!$E$85&gt;0,Z3&lt;=Inputs!$E$85*12),INDEX(Capex!$C$20:$E$20,1,Inputs!$E$13)/MAX(Inputs!$E$85,1)/12,0)+IF(AND(Inputs!$E$86&gt;0,Z3&lt;=Inputs!$E$86*12),INDEX(Capex!$C$21:$E$21,1,Inputs!$E$13)/MAX(Inputs!$E$86,1)/12,0)+IF(AND(Inputs!$E$87&gt;0,Z3&lt;=Inputs!$E$87*12),INDEX(Capex!$C$22:$E$22,1,Inputs!$E$13)/MAX(Inputs!$E$87,1)/12,0)+IF(AND(Inputs!$E$88&gt;0,Z3&lt;=Inputs!$E$88*12),INDEX(Capex!$C$23:$E$23,1,Inputs!$E$13)/MAX(Inputs!$E$88,1)/12,0)+IF(AND(Inputs!$E$89&gt;0,Z3&lt;=Inputs!$E$89*12),INDEX(Capex!$C$24:$E$24,1,Inputs!$E$13)/MAX(Inputs!$E$89,1)/12,0)+IF(AND(Inputs!$E$90&gt;0,Z3&lt;=Inputs!$E$90*12),INDEX(Capex!$C$25:$E$25,1,Inputs!$E$13)/MAX(Inputs!$E$90,1)/12,0)</f>
        <v/>
      </c>
      <c r="AA28" s="3">
        <f>IF(AND(Inputs!$E$84&gt;0,AA3&lt;=Inputs!$E$84*12),INDEX(Capex!$C$19:$E$19,1,Inputs!$E$13)/MAX(Inputs!$E$84,1)/12,0)+IF(AND(Inputs!$E$85&gt;0,AA3&lt;=Inputs!$E$85*12),INDEX(Capex!$C$20:$E$20,1,Inputs!$E$13)/MAX(Inputs!$E$85,1)/12,0)+IF(AND(Inputs!$E$86&gt;0,AA3&lt;=Inputs!$E$86*12),INDEX(Capex!$C$21:$E$21,1,Inputs!$E$13)/MAX(Inputs!$E$86,1)/12,0)+IF(AND(Inputs!$E$87&gt;0,AA3&lt;=Inputs!$E$87*12),INDEX(Capex!$C$22:$E$22,1,Inputs!$E$13)/MAX(Inputs!$E$87,1)/12,0)+IF(AND(Inputs!$E$88&gt;0,AA3&lt;=Inputs!$E$88*12),INDEX(Capex!$C$23:$E$23,1,Inputs!$E$13)/MAX(Inputs!$E$88,1)/12,0)+IF(AND(Inputs!$E$89&gt;0,AA3&lt;=Inputs!$E$89*12),INDEX(Capex!$C$24:$E$24,1,Inputs!$E$13)/MAX(Inputs!$E$89,1)/12,0)+IF(AND(Inputs!$E$90&gt;0,AA3&lt;=Inputs!$E$90*12),INDEX(Capex!$C$25:$E$25,1,Inputs!$E$13)/MAX(Inputs!$E$90,1)/12,0)</f>
        <v/>
      </c>
      <c r="AB28" s="3">
        <f>IF(AND(Inputs!$E$84&gt;0,AB3&lt;=Inputs!$E$84*12),INDEX(Capex!$C$19:$E$19,1,Inputs!$E$13)/MAX(Inputs!$E$84,1)/12,0)+IF(AND(Inputs!$E$85&gt;0,AB3&lt;=Inputs!$E$85*12),INDEX(Capex!$C$20:$E$20,1,Inputs!$E$13)/MAX(Inputs!$E$85,1)/12,0)+IF(AND(Inputs!$E$86&gt;0,AB3&lt;=Inputs!$E$86*12),INDEX(Capex!$C$21:$E$21,1,Inputs!$E$13)/MAX(Inputs!$E$86,1)/12,0)+IF(AND(Inputs!$E$87&gt;0,AB3&lt;=Inputs!$E$87*12),INDEX(Capex!$C$22:$E$22,1,Inputs!$E$13)/MAX(Inputs!$E$87,1)/12,0)+IF(AND(Inputs!$E$88&gt;0,AB3&lt;=Inputs!$E$88*12),INDEX(Capex!$C$23:$E$23,1,Inputs!$E$13)/MAX(Inputs!$E$88,1)/12,0)+IF(AND(Inputs!$E$89&gt;0,AB3&lt;=Inputs!$E$89*12),INDEX(Capex!$C$24:$E$24,1,Inputs!$E$13)/MAX(Inputs!$E$89,1)/12,0)+IF(AND(Inputs!$E$90&gt;0,AB3&lt;=Inputs!$E$90*12),INDEX(Capex!$C$25:$E$25,1,Inputs!$E$13)/MAX(Inputs!$E$90,1)/12,0)</f>
        <v/>
      </c>
      <c r="AC28" s="3">
        <f>IF(AND(Inputs!$E$84&gt;0,AC3&lt;=Inputs!$E$84*12),INDEX(Capex!$C$19:$E$19,1,Inputs!$E$13)/MAX(Inputs!$E$84,1)/12,0)+IF(AND(Inputs!$E$85&gt;0,AC3&lt;=Inputs!$E$85*12),INDEX(Capex!$C$20:$E$20,1,Inputs!$E$13)/MAX(Inputs!$E$85,1)/12,0)+IF(AND(Inputs!$E$86&gt;0,AC3&lt;=Inputs!$E$86*12),INDEX(Capex!$C$21:$E$21,1,Inputs!$E$13)/MAX(Inputs!$E$86,1)/12,0)+IF(AND(Inputs!$E$87&gt;0,AC3&lt;=Inputs!$E$87*12),INDEX(Capex!$C$22:$E$22,1,Inputs!$E$13)/MAX(Inputs!$E$87,1)/12,0)+IF(AND(Inputs!$E$88&gt;0,AC3&lt;=Inputs!$E$88*12),INDEX(Capex!$C$23:$E$23,1,Inputs!$E$13)/MAX(Inputs!$E$88,1)/12,0)+IF(AND(Inputs!$E$89&gt;0,AC3&lt;=Inputs!$E$89*12),INDEX(Capex!$C$24:$E$24,1,Inputs!$E$13)/MAX(Inputs!$E$89,1)/12,0)+IF(AND(Inputs!$E$90&gt;0,AC3&lt;=Inputs!$E$90*12),INDEX(Capex!$C$25:$E$25,1,Inputs!$E$13)/MAX(Inputs!$E$90,1)/12,0)</f>
        <v/>
      </c>
      <c r="AD28" s="3">
        <f>IF(AND(Inputs!$E$84&gt;0,AD3&lt;=Inputs!$E$84*12),INDEX(Capex!$C$19:$E$19,1,Inputs!$E$13)/MAX(Inputs!$E$84,1)/12,0)+IF(AND(Inputs!$E$85&gt;0,AD3&lt;=Inputs!$E$85*12),INDEX(Capex!$C$20:$E$20,1,Inputs!$E$13)/MAX(Inputs!$E$85,1)/12,0)+IF(AND(Inputs!$E$86&gt;0,AD3&lt;=Inputs!$E$86*12),INDEX(Capex!$C$21:$E$21,1,Inputs!$E$13)/MAX(Inputs!$E$86,1)/12,0)+IF(AND(Inputs!$E$87&gt;0,AD3&lt;=Inputs!$E$87*12),INDEX(Capex!$C$22:$E$22,1,Inputs!$E$13)/MAX(Inputs!$E$87,1)/12,0)+IF(AND(Inputs!$E$88&gt;0,AD3&lt;=Inputs!$E$88*12),INDEX(Capex!$C$23:$E$23,1,Inputs!$E$13)/MAX(Inputs!$E$88,1)/12,0)+IF(AND(Inputs!$E$89&gt;0,AD3&lt;=Inputs!$E$89*12),INDEX(Capex!$C$24:$E$24,1,Inputs!$E$13)/MAX(Inputs!$E$89,1)/12,0)+IF(AND(Inputs!$E$90&gt;0,AD3&lt;=Inputs!$E$90*12),INDEX(Capex!$C$25:$E$25,1,Inputs!$E$13)/MAX(Inputs!$E$90,1)/12,0)</f>
        <v/>
      </c>
      <c r="AE28" s="3">
        <f>IF(AND(Inputs!$E$84&gt;0,AE3&lt;=Inputs!$E$84*12),INDEX(Capex!$C$19:$E$19,1,Inputs!$E$13)/MAX(Inputs!$E$84,1)/12,0)+IF(AND(Inputs!$E$85&gt;0,AE3&lt;=Inputs!$E$85*12),INDEX(Capex!$C$20:$E$20,1,Inputs!$E$13)/MAX(Inputs!$E$85,1)/12,0)+IF(AND(Inputs!$E$86&gt;0,AE3&lt;=Inputs!$E$86*12),INDEX(Capex!$C$21:$E$21,1,Inputs!$E$13)/MAX(Inputs!$E$86,1)/12,0)+IF(AND(Inputs!$E$87&gt;0,AE3&lt;=Inputs!$E$87*12),INDEX(Capex!$C$22:$E$22,1,Inputs!$E$13)/MAX(Inputs!$E$87,1)/12,0)+IF(AND(Inputs!$E$88&gt;0,AE3&lt;=Inputs!$E$88*12),INDEX(Capex!$C$23:$E$23,1,Inputs!$E$13)/MAX(Inputs!$E$88,1)/12,0)+IF(AND(Inputs!$E$89&gt;0,AE3&lt;=Inputs!$E$89*12),INDEX(Capex!$C$24:$E$24,1,Inputs!$E$13)/MAX(Inputs!$E$89,1)/12,0)+IF(AND(Inputs!$E$90&gt;0,AE3&lt;=Inputs!$E$90*12),INDEX(Capex!$C$25:$E$25,1,Inputs!$E$13)/MAX(Inputs!$E$90,1)/12,0)</f>
        <v/>
      </c>
      <c r="AF28" s="3">
        <f>IF(AND(Inputs!$E$84&gt;0,AF3&lt;=Inputs!$E$84*12),INDEX(Capex!$C$19:$E$19,1,Inputs!$E$13)/MAX(Inputs!$E$84,1)/12,0)+IF(AND(Inputs!$E$85&gt;0,AF3&lt;=Inputs!$E$85*12),INDEX(Capex!$C$20:$E$20,1,Inputs!$E$13)/MAX(Inputs!$E$85,1)/12,0)+IF(AND(Inputs!$E$86&gt;0,AF3&lt;=Inputs!$E$86*12),INDEX(Capex!$C$21:$E$21,1,Inputs!$E$13)/MAX(Inputs!$E$86,1)/12,0)+IF(AND(Inputs!$E$87&gt;0,AF3&lt;=Inputs!$E$87*12),INDEX(Capex!$C$22:$E$22,1,Inputs!$E$13)/MAX(Inputs!$E$87,1)/12,0)+IF(AND(Inputs!$E$88&gt;0,AF3&lt;=Inputs!$E$88*12),INDEX(Capex!$C$23:$E$23,1,Inputs!$E$13)/MAX(Inputs!$E$88,1)/12,0)+IF(AND(Inputs!$E$89&gt;0,AF3&lt;=Inputs!$E$89*12),INDEX(Capex!$C$24:$E$24,1,Inputs!$E$13)/MAX(Inputs!$E$89,1)/12,0)+IF(AND(Inputs!$E$90&gt;0,AF3&lt;=Inputs!$E$90*12),INDEX(Capex!$C$25:$E$25,1,Inputs!$E$13)/MAX(Inputs!$E$90,1)/12,0)</f>
        <v/>
      </c>
      <c r="AG28" s="3">
        <f>IF(AND(Inputs!$E$84&gt;0,AG3&lt;=Inputs!$E$84*12),INDEX(Capex!$C$19:$E$19,1,Inputs!$E$13)/MAX(Inputs!$E$84,1)/12,0)+IF(AND(Inputs!$E$85&gt;0,AG3&lt;=Inputs!$E$85*12),INDEX(Capex!$C$20:$E$20,1,Inputs!$E$13)/MAX(Inputs!$E$85,1)/12,0)+IF(AND(Inputs!$E$86&gt;0,AG3&lt;=Inputs!$E$86*12),INDEX(Capex!$C$21:$E$21,1,Inputs!$E$13)/MAX(Inputs!$E$86,1)/12,0)+IF(AND(Inputs!$E$87&gt;0,AG3&lt;=Inputs!$E$87*12),INDEX(Capex!$C$22:$E$22,1,Inputs!$E$13)/MAX(Inputs!$E$87,1)/12,0)+IF(AND(Inputs!$E$88&gt;0,AG3&lt;=Inputs!$E$88*12),INDEX(Capex!$C$23:$E$23,1,Inputs!$E$13)/MAX(Inputs!$E$88,1)/12,0)+IF(AND(Inputs!$E$89&gt;0,AG3&lt;=Inputs!$E$89*12),INDEX(Capex!$C$24:$E$24,1,Inputs!$E$13)/MAX(Inputs!$E$89,1)/12,0)+IF(AND(Inputs!$E$90&gt;0,AG3&lt;=Inputs!$E$90*12),INDEX(Capex!$C$25:$E$25,1,Inputs!$E$13)/MAX(Inputs!$E$90,1)/12,0)</f>
        <v/>
      </c>
      <c r="AH28" s="3">
        <f>IF(AND(Inputs!$E$84&gt;0,AH3&lt;=Inputs!$E$84*12),INDEX(Capex!$C$19:$E$19,1,Inputs!$E$13)/MAX(Inputs!$E$84,1)/12,0)+IF(AND(Inputs!$E$85&gt;0,AH3&lt;=Inputs!$E$85*12),INDEX(Capex!$C$20:$E$20,1,Inputs!$E$13)/MAX(Inputs!$E$85,1)/12,0)+IF(AND(Inputs!$E$86&gt;0,AH3&lt;=Inputs!$E$86*12),INDEX(Capex!$C$21:$E$21,1,Inputs!$E$13)/MAX(Inputs!$E$86,1)/12,0)+IF(AND(Inputs!$E$87&gt;0,AH3&lt;=Inputs!$E$87*12),INDEX(Capex!$C$22:$E$22,1,Inputs!$E$13)/MAX(Inputs!$E$87,1)/12,0)+IF(AND(Inputs!$E$88&gt;0,AH3&lt;=Inputs!$E$88*12),INDEX(Capex!$C$23:$E$23,1,Inputs!$E$13)/MAX(Inputs!$E$88,1)/12,0)+IF(AND(Inputs!$E$89&gt;0,AH3&lt;=Inputs!$E$89*12),INDEX(Capex!$C$24:$E$24,1,Inputs!$E$13)/MAX(Inputs!$E$89,1)/12,0)+IF(AND(Inputs!$E$90&gt;0,AH3&lt;=Inputs!$E$90*12),INDEX(Capex!$C$25:$E$25,1,Inputs!$E$13)/MAX(Inputs!$E$90,1)/12,0)</f>
        <v/>
      </c>
      <c r="AI28" s="3">
        <f>IF(AND(Inputs!$E$84&gt;0,AI3&lt;=Inputs!$E$84*12),INDEX(Capex!$C$19:$E$19,1,Inputs!$E$13)/MAX(Inputs!$E$84,1)/12,0)+IF(AND(Inputs!$E$85&gt;0,AI3&lt;=Inputs!$E$85*12),INDEX(Capex!$C$20:$E$20,1,Inputs!$E$13)/MAX(Inputs!$E$85,1)/12,0)+IF(AND(Inputs!$E$86&gt;0,AI3&lt;=Inputs!$E$86*12),INDEX(Capex!$C$21:$E$21,1,Inputs!$E$13)/MAX(Inputs!$E$86,1)/12,0)+IF(AND(Inputs!$E$87&gt;0,AI3&lt;=Inputs!$E$87*12),INDEX(Capex!$C$22:$E$22,1,Inputs!$E$13)/MAX(Inputs!$E$87,1)/12,0)+IF(AND(Inputs!$E$88&gt;0,AI3&lt;=Inputs!$E$88*12),INDEX(Capex!$C$23:$E$23,1,Inputs!$E$13)/MAX(Inputs!$E$88,1)/12,0)+IF(AND(Inputs!$E$89&gt;0,AI3&lt;=Inputs!$E$89*12),INDEX(Capex!$C$24:$E$24,1,Inputs!$E$13)/MAX(Inputs!$E$89,1)/12,0)+IF(AND(Inputs!$E$90&gt;0,AI3&lt;=Inputs!$E$90*12),INDEX(Capex!$C$25:$E$25,1,Inputs!$E$13)/MAX(Inputs!$E$90,1)/12,0)</f>
        <v/>
      </c>
      <c r="AJ28" s="3">
        <f>IF(AND(Inputs!$E$84&gt;0,AJ3&lt;=Inputs!$E$84*12),INDEX(Capex!$C$19:$E$19,1,Inputs!$E$13)/MAX(Inputs!$E$84,1)/12,0)+IF(AND(Inputs!$E$85&gt;0,AJ3&lt;=Inputs!$E$85*12),INDEX(Capex!$C$20:$E$20,1,Inputs!$E$13)/MAX(Inputs!$E$85,1)/12,0)+IF(AND(Inputs!$E$86&gt;0,AJ3&lt;=Inputs!$E$86*12),INDEX(Capex!$C$21:$E$21,1,Inputs!$E$13)/MAX(Inputs!$E$86,1)/12,0)+IF(AND(Inputs!$E$87&gt;0,AJ3&lt;=Inputs!$E$87*12),INDEX(Capex!$C$22:$E$22,1,Inputs!$E$13)/MAX(Inputs!$E$87,1)/12,0)+IF(AND(Inputs!$E$88&gt;0,AJ3&lt;=Inputs!$E$88*12),INDEX(Capex!$C$23:$E$23,1,Inputs!$E$13)/MAX(Inputs!$E$88,1)/12,0)+IF(AND(Inputs!$E$89&gt;0,AJ3&lt;=Inputs!$E$89*12),INDEX(Capex!$C$24:$E$24,1,Inputs!$E$13)/MAX(Inputs!$E$89,1)/12,0)+IF(AND(Inputs!$E$90&gt;0,AJ3&lt;=Inputs!$E$90*12),INDEX(Capex!$C$25:$E$25,1,Inputs!$E$13)/MAX(Inputs!$E$90,1)/12,0)</f>
        <v/>
      </c>
      <c r="AK28" s="3">
        <f>IF(AND(Inputs!$E$84&gt;0,AK3&lt;=Inputs!$E$84*12),INDEX(Capex!$C$19:$E$19,1,Inputs!$E$13)/MAX(Inputs!$E$84,1)/12,0)+IF(AND(Inputs!$E$85&gt;0,AK3&lt;=Inputs!$E$85*12),INDEX(Capex!$C$20:$E$20,1,Inputs!$E$13)/MAX(Inputs!$E$85,1)/12,0)+IF(AND(Inputs!$E$86&gt;0,AK3&lt;=Inputs!$E$86*12),INDEX(Capex!$C$21:$E$21,1,Inputs!$E$13)/MAX(Inputs!$E$86,1)/12,0)+IF(AND(Inputs!$E$87&gt;0,AK3&lt;=Inputs!$E$87*12),INDEX(Capex!$C$22:$E$22,1,Inputs!$E$13)/MAX(Inputs!$E$87,1)/12,0)+IF(AND(Inputs!$E$88&gt;0,AK3&lt;=Inputs!$E$88*12),INDEX(Capex!$C$23:$E$23,1,Inputs!$E$13)/MAX(Inputs!$E$88,1)/12,0)+IF(AND(Inputs!$E$89&gt;0,AK3&lt;=Inputs!$E$89*12),INDEX(Capex!$C$24:$E$24,1,Inputs!$E$13)/MAX(Inputs!$E$89,1)/12,0)+IF(AND(Inputs!$E$90&gt;0,AK3&lt;=Inputs!$E$90*12),INDEX(Capex!$C$25:$E$25,1,Inputs!$E$13)/MAX(Inputs!$E$90,1)/12,0)</f>
        <v/>
      </c>
      <c r="AL28" s="3">
        <f>IF(AND(Inputs!$E$84&gt;0,AL3&lt;=Inputs!$E$84*12),INDEX(Capex!$C$19:$E$19,1,Inputs!$E$13)/MAX(Inputs!$E$84,1)/12,0)+IF(AND(Inputs!$E$85&gt;0,AL3&lt;=Inputs!$E$85*12),INDEX(Capex!$C$20:$E$20,1,Inputs!$E$13)/MAX(Inputs!$E$85,1)/12,0)+IF(AND(Inputs!$E$86&gt;0,AL3&lt;=Inputs!$E$86*12),INDEX(Capex!$C$21:$E$21,1,Inputs!$E$13)/MAX(Inputs!$E$86,1)/12,0)+IF(AND(Inputs!$E$87&gt;0,AL3&lt;=Inputs!$E$87*12),INDEX(Capex!$C$22:$E$22,1,Inputs!$E$13)/MAX(Inputs!$E$87,1)/12,0)+IF(AND(Inputs!$E$88&gt;0,AL3&lt;=Inputs!$E$88*12),INDEX(Capex!$C$23:$E$23,1,Inputs!$E$13)/MAX(Inputs!$E$88,1)/12,0)+IF(AND(Inputs!$E$89&gt;0,AL3&lt;=Inputs!$E$89*12),INDEX(Capex!$C$24:$E$24,1,Inputs!$E$13)/MAX(Inputs!$E$89,1)/12,0)+IF(AND(Inputs!$E$90&gt;0,AL3&lt;=Inputs!$E$90*12),INDEX(Capex!$C$25:$E$25,1,Inputs!$E$13)/MAX(Inputs!$E$90,1)/12,0)</f>
        <v/>
      </c>
      <c r="AM28" s="3">
        <f>IF(AND(Inputs!$E$84&gt;0,AM3&lt;=Inputs!$E$84*12),INDEX(Capex!$C$19:$E$19,1,Inputs!$E$13)/MAX(Inputs!$E$84,1)/12,0)+IF(AND(Inputs!$E$85&gt;0,AM3&lt;=Inputs!$E$85*12),INDEX(Capex!$C$20:$E$20,1,Inputs!$E$13)/MAX(Inputs!$E$85,1)/12,0)+IF(AND(Inputs!$E$86&gt;0,AM3&lt;=Inputs!$E$86*12),INDEX(Capex!$C$21:$E$21,1,Inputs!$E$13)/MAX(Inputs!$E$86,1)/12,0)+IF(AND(Inputs!$E$87&gt;0,AM3&lt;=Inputs!$E$87*12),INDEX(Capex!$C$22:$E$22,1,Inputs!$E$13)/MAX(Inputs!$E$87,1)/12,0)+IF(AND(Inputs!$E$88&gt;0,AM3&lt;=Inputs!$E$88*12),INDEX(Capex!$C$23:$E$23,1,Inputs!$E$13)/MAX(Inputs!$E$88,1)/12,0)+IF(AND(Inputs!$E$89&gt;0,AM3&lt;=Inputs!$E$89*12),INDEX(Capex!$C$24:$E$24,1,Inputs!$E$13)/MAX(Inputs!$E$89,1)/12,0)+IF(AND(Inputs!$E$90&gt;0,AM3&lt;=Inputs!$E$90*12),INDEX(Capex!$C$25:$E$25,1,Inputs!$E$13)/MAX(Inputs!$E$90,1)/12,0)</f>
        <v/>
      </c>
      <c r="AN28" s="3">
        <f>IF(AND(Inputs!$E$84&gt;0,AN3&lt;=Inputs!$E$84*12),INDEX(Capex!$C$19:$E$19,1,Inputs!$E$13)/MAX(Inputs!$E$84,1)/12,0)+IF(AND(Inputs!$E$85&gt;0,AN3&lt;=Inputs!$E$85*12),INDEX(Capex!$C$20:$E$20,1,Inputs!$E$13)/MAX(Inputs!$E$85,1)/12,0)+IF(AND(Inputs!$E$86&gt;0,AN3&lt;=Inputs!$E$86*12),INDEX(Capex!$C$21:$E$21,1,Inputs!$E$13)/MAX(Inputs!$E$86,1)/12,0)+IF(AND(Inputs!$E$87&gt;0,AN3&lt;=Inputs!$E$87*12),INDEX(Capex!$C$22:$E$22,1,Inputs!$E$13)/MAX(Inputs!$E$87,1)/12,0)+IF(AND(Inputs!$E$88&gt;0,AN3&lt;=Inputs!$E$88*12),INDEX(Capex!$C$23:$E$23,1,Inputs!$E$13)/MAX(Inputs!$E$88,1)/12,0)+IF(AND(Inputs!$E$89&gt;0,AN3&lt;=Inputs!$E$89*12),INDEX(Capex!$C$24:$E$24,1,Inputs!$E$13)/MAX(Inputs!$E$89,1)/12,0)+IF(AND(Inputs!$E$90&gt;0,AN3&lt;=Inputs!$E$90*12),INDEX(Capex!$C$25:$E$25,1,Inputs!$E$13)/MAX(Inputs!$E$90,1)/12,0)</f>
        <v/>
      </c>
      <c r="AO28" s="3">
        <f>IF(AND(Inputs!$E$84&gt;0,AO3&lt;=Inputs!$E$84*12),INDEX(Capex!$C$19:$E$19,1,Inputs!$E$13)/MAX(Inputs!$E$84,1)/12,0)+IF(AND(Inputs!$E$85&gt;0,AO3&lt;=Inputs!$E$85*12),INDEX(Capex!$C$20:$E$20,1,Inputs!$E$13)/MAX(Inputs!$E$85,1)/12,0)+IF(AND(Inputs!$E$86&gt;0,AO3&lt;=Inputs!$E$86*12),INDEX(Capex!$C$21:$E$21,1,Inputs!$E$13)/MAX(Inputs!$E$86,1)/12,0)+IF(AND(Inputs!$E$87&gt;0,AO3&lt;=Inputs!$E$87*12),INDEX(Capex!$C$22:$E$22,1,Inputs!$E$13)/MAX(Inputs!$E$87,1)/12,0)+IF(AND(Inputs!$E$88&gt;0,AO3&lt;=Inputs!$E$88*12),INDEX(Capex!$C$23:$E$23,1,Inputs!$E$13)/MAX(Inputs!$E$88,1)/12,0)+IF(AND(Inputs!$E$89&gt;0,AO3&lt;=Inputs!$E$89*12),INDEX(Capex!$C$24:$E$24,1,Inputs!$E$13)/MAX(Inputs!$E$89,1)/12,0)+IF(AND(Inputs!$E$90&gt;0,AO3&lt;=Inputs!$E$90*12),INDEX(Capex!$C$25:$E$25,1,Inputs!$E$13)/MAX(Inputs!$E$90,1)/12,0)</f>
        <v/>
      </c>
      <c r="AP28" s="3">
        <f>IF(AND(Inputs!$E$84&gt;0,AP3&lt;=Inputs!$E$84*12),INDEX(Capex!$C$19:$E$19,1,Inputs!$E$13)/MAX(Inputs!$E$84,1)/12,0)+IF(AND(Inputs!$E$85&gt;0,AP3&lt;=Inputs!$E$85*12),INDEX(Capex!$C$20:$E$20,1,Inputs!$E$13)/MAX(Inputs!$E$85,1)/12,0)+IF(AND(Inputs!$E$86&gt;0,AP3&lt;=Inputs!$E$86*12),INDEX(Capex!$C$21:$E$21,1,Inputs!$E$13)/MAX(Inputs!$E$86,1)/12,0)+IF(AND(Inputs!$E$87&gt;0,AP3&lt;=Inputs!$E$87*12),INDEX(Capex!$C$22:$E$22,1,Inputs!$E$13)/MAX(Inputs!$E$87,1)/12,0)+IF(AND(Inputs!$E$88&gt;0,AP3&lt;=Inputs!$E$88*12),INDEX(Capex!$C$23:$E$23,1,Inputs!$E$13)/MAX(Inputs!$E$88,1)/12,0)+IF(AND(Inputs!$E$89&gt;0,AP3&lt;=Inputs!$E$89*12),INDEX(Capex!$C$24:$E$24,1,Inputs!$E$13)/MAX(Inputs!$E$89,1)/12,0)+IF(AND(Inputs!$E$90&gt;0,AP3&lt;=Inputs!$E$90*12),INDEX(Capex!$C$25:$E$25,1,Inputs!$E$13)/MAX(Inputs!$E$90,1)/12,0)</f>
        <v/>
      </c>
      <c r="AQ28" s="3">
        <f>IF(AND(Inputs!$E$84&gt;0,AQ3&lt;=Inputs!$E$84*12),INDEX(Capex!$C$19:$E$19,1,Inputs!$E$13)/MAX(Inputs!$E$84,1)/12,0)+IF(AND(Inputs!$E$85&gt;0,AQ3&lt;=Inputs!$E$85*12),INDEX(Capex!$C$20:$E$20,1,Inputs!$E$13)/MAX(Inputs!$E$85,1)/12,0)+IF(AND(Inputs!$E$86&gt;0,AQ3&lt;=Inputs!$E$86*12),INDEX(Capex!$C$21:$E$21,1,Inputs!$E$13)/MAX(Inputs!$E$86,1)/12,0)+IF(AND(Inputs!$E$87&gt;0,AQ3&lt;=Inputs!$E$87*12),INDEX(Capex!$C$22:$E$22,1,Inputs!$E$13)/MAX(Inputs!$E$87,1)/12,0)+IF(AND(Inputs!$E$88&gt;0,AQ3&lt;=Inputs!$E$88*12),INDEX(Capex!$C$23:$E$23,1,Inputs!$E$13)/MAX(Inputs!$E$88,1)/12,0)+IF(AND(Inputs!$E$89&gt;0,AQ3&lt;=Inputs!$E$89*12),INDEX(Capex!$C$24:$E$24,1,Inputs!$E$13)/MAX(Inputs!$E$89,1)/12,0)+IF(AND(Inputs!$E$90&gt;0,AQ3&lt;=Inputs!$E$90*12),INDEX(Capex!$C$25:$E$25,1,Inputs!$E$13)/MAX(Inputs!$E$90,1)/12,0)</f>
        <v/>
      </c>
      <c r="AR28" s="3">
        <f>IF(AND(Inputs!$E$84&gt;0,AR3&lt;=Inputs!$E$84*12),INDEX(Capex!$C$19:$E$19,1,Inputs!$E$13)/MAX(Inputs!$E$84,1)/12,0)+IF(AND(Inputs!$E$85&gt;0,AR3&lt;=Inputs!$E$85*12),INDEX(Capex!$C$20:$E$20,1,Inputs!$E$13)/MAX(Inputs!$E$85,1)/12,0)+IF(AND(Inputs!$E$86&gt;0,AR3&lt;=Inputs!$E$86*12),INDEX(Capex!$C$21:$E$21,1,Inputs!$E$13)/MAX(Inputs!$E$86,1)/12,0)+IF(AND(Inputs!$E$87&gt;0,AR3&lt;=Inputs!$E$87*12),INDEX(Capex!$C$22:$E$22,1,Inputs!$E$13)/MAX(Inputs!$E$87,1)/12,0)+IF(AND(Inputs!$E$88&gt;0,AR3&lt;=Inputs!$E$88*12),INDEX(Capex!$C$23:$E$23,1,Inputs!$E$13)/MAX(Inputs!$E$88,1)/12,0)+IF(AND(Inputs!$E$89&gt;0,AR3&lt;=Inputs!$E$89*12),INDEX(Capex!$C$24:$E$24,1,Inputs!$E$13)/MAX(Inputs!$E$89,1)/12,0)+IF(AND(Inputs!$E$90&gt;0,AR3&lt;=Inputs!$E$90*12),INDEX(Capex!$C$25:$E$25,1,Inputs!$E$13)/MAX(Inputs!$E$90,1)/12,0)</f>
        <v/>
      </c>
      <c r="AS28" s="3">
        <f>IF(AND(Inputs!$E$84&gt;0,AS3&lt;=Inputs!$E$84*12),INDEX(Capex!$C$19:$E$19,1,Inputs!$E$13)/MAX(Inputs!$E$84,1)/12,0)+IF(AND(Inputs!$E$85&gt;0,AS3&lt;=Inputs!$E$85*12),INDEX(Capex!$C$20:$E$20,1,Inputs!$E$13)/MAX(Inputs!$E$85,1)/12,0)+IF(AND(Inputs!$E$86&gt;0,AS3&lt;=Inputs!$E$86*12),INDEX(Capex!$C$21:$E$21,1,Inputs!$E$13)/MAX(Inputs!$E$86,1)/12,0)+IF(AND(Inputs!$E$87&gt;0,AS3&lt;=Inputs!$E$87*12),INDEX(Capex!$C$22:$E$22,1,Inputs!$E$13)/MAX(Inputs!$E$87,1)/12,0)+IF(AND(Inputs!$E$88&gt;0,AS3&lt;=Inputs!$E$88*12),INDEX(Capex!$C$23:$E$23,1,Inputs!$E$13)/MAX(Inputs!$E$88,1)/12,0)+IF(AND(Inputs!$E$89&gt;0,AS3&lt;=Inputs!$E$89*12),INDEX(Capex!$C$24:$E$24,1,Inputs!$E$13)/MAX(Inputs!$E$89,1)/12,0)+IF(AND(Inputs!$E$90&gt;0,AS3&lt;=Inputs!$E$90*12),INDEX(Capex!$C$25:$E$25,1,Inputs!$E$13)/MAX(Inputs!$E$90,1)/12,0)</f>
        <v/>
      </c>
      <c r="AT28" s="3">
        <f>IF(AND(Inputs!$E$84&gt;0,AT3&lt;=Inputs!$E$84*12),INDEX(Capex!$C$19:$E$19,1,Inputs!$E$13)/MAX(Inputs!$E$84,1)/12,0)+IF(AND(Inputs!$E$85&gt;0,AT3&lt;=Inputs!$E$85*12),INDEX(Capex!$C$20:$E$20,1,Inputs!$E$13)/MAX(Inputs!$E$85,1)/12,0)+IF(AND(Inputs!$E$86&gt;0,AT3&lt;=Inputs!$E$86*12),INDEX(Capex!$C$21:$E$21,1,Inputs!$E$13)/MAX(Inputs!$E$86,1)/12,0)+IF(AND(Inputs!$E$87&gt;0,AT3&lt;=Inputs!$E$87*12),INDEX(Capex!$C$22:$E$22,1,Inputs!$E$13)/MAX(Inputs!$E$87,1)/12,0)+IF(AND(Inputs!$E$88&gt;0,AT3&lt;=Inputs!$E$88*12),INDEX(Capex!$C$23:$E$23,1,Inputs!$E$13)/MAX(Inputs!$E$88,1)/12,0)+IF(AND(Inputs!$E$89&gt;0,AT3&lt;=Inputs!$E$89*12),INDEX(Capex!$C$24:$E$24,1,Inputs!$E$13)/MAX(Inputs!$E$89,1)/12,0)+IF(AND(Inputs!$E$90&gt;0,AT3&lt;=Inputs!$E$90*12),INDEX(Capex!$C$25:$E$25,1,Inputs!$E$13)/MAX(Inputs!$E$90,1)/12,0)</f>
        <v/>
      </c>
      <c r="AU28" s="3">
        <f>IF(AND(Inputs!$E$84&gt;0,AU3&lt;=Inputs!$E$84*12),INDEX(Capex!$C$19:$E$19,1,Inputs!$E$13)/MAX(Inputs!$E$84,1)/12,0)+IF(AND(Inputs!$E$85&gt;0,AU3&lt;=Inputs!$E$85*12),INDEX(Capex!$C$20:$E$20,1,Inputs!$E$13)/MAX(Inputs!$E$85,1)/12,0)+IF(AND(Inputs!$E$86&gt;0,AU3&lt;=Inputs!$E$86*12),INDEX(Capex!$C$21:$E$21,1,Inputs!$E$13)/MAX(Inputs!$E$86,1)/12,0)+IF(AND(Inputs!$E$87&gt;0,AU3&lt;=Inputs!$E$87*12),INDEX(Capex!$C$22:$E$22,1,Inputs!$E$13)/MAX(Inputs!$E$87,1)/12,0)+IF(AND(Inputs!$E$88&gt;0,AU3&lt;=Inputs!$E$88*12),INDEX(Capex!$C$23:$E$23,1,Inputs!$E$13)/MAX(Inputs!$E$88,1)/12,0)+IF(AND(Inputs!$E$89&gt;0,AU3&lt;=Inputs!$E$89*12),INDEX(Capex!$C$24:$E$24,1,Inputs!$E$13)/MAX(Inputs!$E$89,1)/12,0)+IF(AND(Inputs!$E$90&gt;0,AU3&lt;=Inputs!$E$90*12),INDEX(Capex!$C$25:$E$25,1,Inputs!$E$13)/MAX(Inputs!$E$90,1)/12,0)</f>
        <v/>
      </c>
      <c r="AV28" s="3">
        <f>IF(AND(Inputs!$E$84&gt;0,AV3&lt;=Inputs!$E$84*12),INDEX(Capex!$C$19:$E$19,1,Inputs!$E$13)/MAX(Inputs!$E$84,1)/12,0)+IF(AND(Inputs!$E$85&gt;0,AV3&lt;=Inputs!$E$85*12),INDEX(Capex!$C$20:$E$20,1,Inputs!$E$13)/MAX(Inputs!$E$85,1)/12,0)+IF(AND(Inputs!$E$86&gt;0,AV3&lt;=Inputs!$E$86*12),INDEX(Capex!$C$21:$E$21,1,Inputs!$E$13)/MAX(Inputs!$E$86,1)/12,0)+IF(AND(Inputs!$E$87&gt;0,AV3&lt;=Inputs!$E$87*12),INDEX(Capex!$C$22:$E$22,1,Inputs!$E$13)/MAX(Inputs!$E$87,1)/12,0)+IF(AND(Inputs!$E$88&gt;0,AV3&lt;=Inputs!$E$88*12),INDEX(Capex!$C$23:$E$23,1,Inputs!$E$13)/MAX(Inputs!$E$88,1)/12,0)+IF(AND(Inputs!$E$89&gt;0,AV3&lt;=Inputs!$E$89*12),INDEX(Capex!$C$24:$E$24,1,Inputs!$E$13)/MAX(Inputs!$E$89,1)/12,0)+IF(AND(Inputs!$E$90&gt;0,AV3&lt;=Inputs!$E$90*12),INDEX(Capex!$C$25:$E$25,1,Inputs!$E$13)/MAX(Inputs!$E$90,1)/12,0)</f>
        <v/>
      </c>
      <c r="AW28" s="3">
        <f>IF(AND(Inputs!$E$84&gt;0,AW3&lt;=Inputs!$E$84*12),INDEX(Capex!$C$19:$E$19,1,Inputs!$E$13)/MAX(Inputs!$E$84,1)/12,0)+IF(AND(Inputs!$E$85&gt;0,AW3&lt;=Inputs!$E$85*12),INDEX(Capex!$C$20:$E$20,1,Inputs!$E$13)/MAX(Inputs!$E$85,1)/12,0)+IF(AND(Inputs!$E$86&gt;0,AW3&lt;=Inputs!$E$86*12),INDEX(Capex!$C$21:$E$21,1,Inputs!$E$13)/MAX(Inputs!$E$86,1)/12,0)+IF(AND(Inputs!$E$87&gt;0,AW3&lt;=Inputs!$E$87*12),INDEX(Capex!$C$22:$E$22,1,Inputs!$E$13)/MAX(Inputs!$E$87,1)/12,0)+IF(AND(Inputs!$E$88&gt;0,AW3&lt;=Inputs!$E$88*12),INDEX(Capex!$C$23:$E$23,1,Inputs!$E$13)/MAX(Inputs!$E$88,1)/12,0)+IF(AND(Inputs!$E$89&gt;0,AW3&lt;=Inputs!$E$89*12),INDEX(Capex!$C$24:$E$24,1,Inputs!$E$13)/MAX(Inputs!$E$89,1)/12,0)+IF(AND(Inputs!$E$90&gt;0,AW3&lt;=Inputs!$E$90*12),INDEX(Capex!$C$25:$E$25,1,Inputs!$E$13)/MAX(Inputs!$E$90,1)/12,0)</f>
        <v/>
      </c>
      <c r="AX28" s="3">
        <f>IF(AND(Inputs!$E$84&gt;0,AX3&lt;=Inputs!$E$84*12),INDEX(Capex!$C$19:$E$19,1,Inputs!$E$13)/MAX(Inputs!$E$84,1)/12,0)+IF(AND(Inputs!$E$85&gt;0,AX3&lt;=Inputs!$E$85*12),INDEX(Capex!$C$20:$E$20,1,Inputs!$E$13)/MAX(Inputs!$E$85,1)/12,0)+IF(AND(Inputs!$E$86&gt;0,AX3&lt;=Inputs!$E$86*12),INDEX(Capex!$C$21:$E$21,1,Inputs!$E$13)/MAX(Inputs!$E$86,1)/12,0)+IF(AND(Inputs!$E$87&gt;0,AX3&lt;=Inputs!$E$87*12),INDEX(Capex!$C$22:$E$22,1,Inputs!$E$13)/MAX(Inputs!$E$87,1)/12,0)+IF(AND(Inputs!$E$88&gt;0,AX3&lt;=Inputs!$E$88*12),INDEX(Capex!$C$23:$E$23,1,Inputs!$E$13)/MAX(Inputs!$E$88,1)/12,0)+IF(AND(Inputs!$E$89&gt;0,AX3&lt;=Inputs!$E$89*12),INDEX(Capex!$C$24:$E$24,1,Inputs!$E$13)/MAX(Inputs!$E$89,1)/12,0)+IF(AND(Inputs!$E$90&gt;0,AX3&lt;=Inputs!$E$90*12),INDEX(Capex!$C$25:$E$25,1,Inputs!$E$13)/MAX(Inputs!$E$90,1)/12,0)</f>
        <v/>
      </c>
      <c r="AY28" s="3">
        <f>IF(AND(Inputs!$E$84&gt;0,AY3&lt;=Inputs!$E$84*12),INDEX(Capex!$C$19:$E$19,1,Inputs!$E$13)/MAX(Inputs!$E$84,1)/12,0)+IF(AND(Inputs!$E$85&gt;0,AY3&lt;=Inputs!$E$85*12),INDEX(Capex!$C$20:$E$20,1,Inputs!$E$13)/MAX(Inputs!$E$85,1)/12,0)+IF(AND(Inputs!$E$86&gt;0,AY3&lt;=Inputs!$E$86*12),INDEX(Capex!$C$21:$E$21,1,Inputs!$E$13)/MAX(Inputs!$E$86,1)/12,0)+IF(AND(Inputs!$E$87&gt;0,AY3&lt;=Inputs!$E$87*12),INDEX(Capex!$C$22:$E$22,1,Inputs!$E$13)/MAX(Inputs!$E$87,1)/12,0)+IF(AND(Inputs!$E$88&gt;0,AY3&lt;=Inputs!$E$88*12),INDEX(Capex!$C$23:$E$23,1,Inputs!$E$13)/MAX(Inputs!$E$88,1)/12,0)+IF(AND(Inputs!$E$89&gt;0,AY3&lt;=Inputs!$E$89*12),INDEX(Capex!$C$24:$E$24,1,Inputs!$E$13)/MAX(Inputs!$E$89,1)/12,0)+IF(AND(Inputs!$E$90&gt;0,AY3&lt;=Inputs!$E$90*12),INDEX(Capex!$C$25:$E$25,1,Inputs!$E$13)/MAX(Inputs!$E$90,1)/12,0)</f>
        <v/>
      </c>
      <c r="AZ28" s="3">
        <f>IF(AND(Inputs!$E$84&gt;0,AZ3&lt;=Inputs!$E$84*12),INDEX(Capex!$C$19:$E$19,1,Inputs!$E$13)/MAX(Inputs!$E$84,1)/12,0)+IF(AND(Inputs!$E$85&gt;0,AZ3&lt;=Inputs!$E$85*12),INDEX(Capex!$C$20:$E$20,1,Inputs!$E$13)/MAX(Inputs!$E$85,1)/12,0)+IF(AND(Inputs!$E$86&gt;0,AZ3&lt;=Inputs!$E$86*12),INDEX(Capex!$C$21:$E$21,1,Inputs!$E$13)/MAX(Inputs!$E$86,1)/12,0)+IF(AND(Inputs!$E$87&gt;0,AZ3&lt;=Inputs!$E$87*12),INDEX(Capex!$C$22:$E$22,1,Inputs!$E$13)/MAX(Inputs!$E$87,1)/12,0)+IF(AND(Inputs!$E$88&gt;0,AZ3&lt;=Inputs!$E$88*12),INDEX(Capex!$C$23:$E$23,1,Inputs!$E$13)/MAX(Inputs!$E$88,1)/12,0)+IF(AND(Inputs!$E$89&gt;0,AZ3&lt;=Inputs!$E$89*12),INDEX(Capex!$C$24:$E$24,1,Inputs!$E$13)/MAX(Inputs!$E$89,1)/12,0)+IF(AND(Inputs!$E$90&gt;0,AZ3&lt;=Inputs!$E$90*12),INDEX(Capex!$C$25:$E$25,1,Inputs!$E$13)/MAX(Inputs!$E$90,1)/12,0)</f>
        <v/>
      </c>
      <c r="BA28" s="3">
        <f>IF(AND(Inputs!$E$84&gt;0,BA3&lt;=Inputs!$E$84*12),INDEX(Capex!$C$19:$E$19,1,Inputs!$E$13)/MAX(Inputs!$E$84,1)/12,0)+IF(AND(Inputs!$E$85&gt;0,BA3&lt;=Inputs!$E$85*12),INDEX(Capex!$C$20:$E$20,1,Inputs!$E$13)/MAX(Inputs!$E$85,1)/12,0)+IF(AND(Inputs!$E$86&gt;0,BA3&lt;=Inputs!$E$86*12),INDEX(Capex!$C$21:$E$21,1,Inputs!$E$13)/MAX(Inputs!$E$86,1)/12,0)+IF(AND(Inputs!$E$87&gt;0,BA3&lt;=Inputs!$E$87*12),INDEX(Capex!$C$22:$E$22,1,Inputs!$E$13)/MAX(Inputs!$E$87,1)/12,0)+IF(AND(Inputs!$E$88&gt;0,BA3&lt;=Inputs!$E$88*12),INDEX(Capex!$C$23:$E$23,1,Inputs!$E$13)/MAX(Inputs!$E$88,1)/12,0)+IF(AND(Inputs!$E$89&gt;0,BA3&lt;=Inputs!$E$89*12),INDEX(Capex!$C$24:$E$24,1,Inputs!$E$13)/MAX(Inputs!$E$89,1)/12,0)+IF(AND(Inputs!$E$90&gt;0,BA3&lt;=Inputs!$E$90*12),INDEX(Capex!$C$25:$E$25,1,Inputs!$E$13)/MAX(Inputs!$E$90,1)/12,0)</f>
        <v/>
      </c>
      <c r="BB28" s="3">
        <f>IF(AND(Inputs!$E$84&gt;0,BB3&lt;=Inputs!$E$84*12),INDEX(Capex!$C$19:$E$19,1,Inputs!$E$13)/MAX(Inputs!$E$84,1)/12,0)+IF(AND(Inputs!$E$85&gt;0,BB3&lt;=Inputs!$E$85*12),INDEX(Capex!$C$20:$E$20,1,Inputs!$E$13)/MAX(Inputs!$E$85,1)/12,0)+IF(AND(Inputs!$E$86&gt;0,BB3&lt;=Inputs!$E$86*12),INDEX(Capex!$C$21:$E$21,1,Inputs!$E$13)/MAX(Inputs!$E$86,1)/12,0)+IF(AND(Inputs!$E$87&gt;0,BB3&lt;=Inputs!$E$87*12),INDEX(Capex!$C$22:$E$22,1,Inputs!$E$13)/MAX(Inputs!$E$87,1)/12,0)+IF(AND(Inputs!$E$88&gt;0,BB3&lt;=Inputs!$E$88*12),INDEX(Capex!$C$23:$E$23,1,Inputs!$E$13)/MAX(Inputs!$E$88,1)/12,0)+IF(AND(Inputs!$E$89&gt;0,BB3&lt;=Inputs!$E$89*12),INDEX(Capex!$C$24:$E$24,1,Inputs!$E$13)/MAX(Inputs!$E$89,1)/12,0)+IF(AND(Inputs!$E$90&gt;0,BB3&lt;=Inputs!$E$90*12),INDEX(Capex!$C$25:$E$25,1,Inputs!$E$13)/MAX(Inputs!$E$90,1)/12,0)</f>
        <v/>
      </c>
      <c r="BC28" s="3">
        <f>IF(AND(Inputs!$E$84&gt;0,BC3&lt;=Inputs!$E$84*12),INDEX(Capex!$C$19:$E$19,1,Inputs!$E$13)/MAX(Inputs!$E$84,1)/12,0)+IF(AND(Inputs!$E$85&gt;0,BC3&lt;=Inputs!$E$85*12),INDEX(Capex!$C$20:$E$20,1,Inputs!$E$13)/MAX(Inputs!$E$85,1)/12,0)+IF(AND(Inputs!$E$86&gt;0,BC3&lt;=Inputs!$E$86*12),INDEX(Capex!$C$21:$E$21,1,Inputs!$E$13)/MAX(Inputs!$E$86,1)/12,0)+IF(AND(Inputs!$E$87&gt;0,BC3&lt;=Inputs!$E$87*12),INDEX(Capex!$C$22:$E$22,1,Inputs!$E$13)/MAX(Inputs!$E$87,1)/12,0)+IF(AND(Inputs!$E$88&gt;0,BC3&lt;=Inputs!$E$88*12),INDEX(Capex!$C$23:$E$23,1,Inputs!$E$13)/MAX(Inputs!$E$88,1)/12,0)+IF(AND(Inputs!$E$89&gt;0,BC3&lt;=Inputs!$E$89*12),INDEX(Capex!$C$24:$E$24,1,Inputs!$E$13)/MAX(Inputs!$E$89,1)/12,0)+IF(AND(Inputs!$E$90&gt;0,BC3&lt;=Inputs!$E$90*12),INDEX(Capex!$C$25:$E$25,1,Inputs!$E$13)/MAX(Inputs!$E$90,1)/12,0)</f>
        <v/>
      </c>
      <c r="BD28" s="3">
        <f>IF(AND(Inputs!$E$84&gt;0,BD3&lt;=Inputs!$E$84*12),INDEX(Capex!$C$19:$E$19,1,Inputs!$E$13)/MAX(Inputs!$E$84,1)/12,0)+IF(AND(Inputs!$E$85&gt;0,BD3&lt;=Inputs!$E$85*12),INDEX(Capex!$C$20:$E$20,1,Inputs!$E$13)/MAX(Inputs!$E$85,1)/12,0)+IF(AND(Inputs!$E$86&gt;0,BD3&lt;=Inputs!$E$86*12),INDEX(Capex!$C$21:$E$21,1,Inputs!$E$13)/MAX(Inputs!$E$86,1)/12,0)+IF(AND(Inputs!$E$87&gt;0,BD3&lt;=Inputs!$E$87*12),INDEX(Capex!$C$22:$E$22,1,Inputs!$E$13)/MAX(Inputs!$E$87,1)/12,0)+IF(AND(Inputs!$E$88&gt;0,BD3&lt;=Inputs!$E$88*12),INDEX(Capex!$C$23:$E$23,1,Inputs!$E$13)/MAX(Inputs!$E$88,1)/12,0)+IF(AND(Inputs!$E$89&gt;0,BD3&lt;=Inputs!$E$89*12),INDEX(Capex!$C$24:$E$24,1,Inputs!$E$13)/MAX(Inputs!$E$89,1)/12,0)+IF(AND(Inputs!$E$90&gt;0,BD3&lt;=Inputs!$E$90*12),INDEX(Capex!$C$25:$E$25,1,Inputs!$E$13)/MAX(Inputs!$E$90,1)/12,0)</f>
        <v/>
      </c>
      <c r="BE28" s="3">
        <f>IF(AND(Inputs!$E$84&gt;0,BE3&lt;=Inputs!$E$84*12),INDEX(Capex!$C$19:$E$19,1,Inputs!$E$13)/MAX(Inputs!$E$84,1)/12,0)+IF(AND(Inputs!$E$85&gt;0,BE3&lt;=Inputs!$E$85*12),INDEX(Capex!$C$20:$E$20,1,Inputs!$E$13)/MAX(Inputs!$E$85,1)/12,0)+IF(AND(Inputs!$E$86&gt;0,BE3&lt;=Inputs!$E$86*12),INDEX(Capex!$C$21:$E$21,1,Inputs!$E$13)/MAX(Inputs!$E$86,1)/12,0)+IF(AND(Inputs!$E$87&gt;0,BE3&lt;=Inputs!$E$87*12),INDEX(Capex!$C$22:$E$22,1,Inputs!$E$13)/MAX(Inputs!$E$87,1)/12,0)+IF(AND(Inputs!$E$88&gt;0,BE3&lt;=Inputs!$E$88*12),INDEX(Capex!$C$23:$E$23,1,Inputs!$E$13)/MAX(Inputs!$E$88,1)/12,0)+IF(AND(Inputs!$E$89&gt;0,BE3&lt;=Inputs!$E$89*12),INDEX(Capex!$C$24:$E$24,1,Inputs!$E$13)/MAX(Inputs!$E$89,1)/12,0)+IF(AND(Inputs!$E$90&gt;0,BE3&lt;=Inputs!$E$90*12),INDEX(Capex!$C$25:$E$25,1,Inputs!$E$13)/MAX(Inputs!$E$90,1)/12,0)</f>
        <v/>
      </c>
      <c r="BF28" s="3">
        <f>IF(AND(Inputs!$E$84&gt;0,BF3&lt;=Inputs!$E$84*12),INDEX(Capex!$C$19:$E$19,1,Inputs!$E$13)/MAX(Inputs!$E$84,1)/12,0)+IF(AND(Inputs!$E$85&gt;0,BF3&lt;=Inputs!$E$85*12),INDEX(Capex!$C$20:$E$20,1,Inputs!$E$13)/MAX(Inputs!$E$85,1)/12,0)+IF(AND(Inputs!$E$86&gt;0,BF3&lt;=Inputs!$E$86*12),INDEX(Capex!$C$21:$E$21,1,Inputs!$E$13)/MAX(Inputs!$E$86,1)/12,0)+IF(AND(Inputs!$E$87&gt;0,BF3&lt;=Inputs!$E$87*12),INDEX(Capex!$C$22:$E$22,1,Inputs!$E$13)/MAX(Inputs!$E$87,1)/12,0)+IF(AND(Inputs!$E$88&gt;0,BF3&lt;=Inputs!$E$88*12),INDEX(Capex!$C$23:$E$23,1,Inputs!$E$13)/MAX(Inputs!$E$88,1)/12,0)+IF(AND(Inputs!$E$89&gt;0,BF3&lt;=Inputs!$E$89*12),INDEX(Capex!$C$24:$E$24,1,Inputs!$E$13)/MAX(Inputs!$E$89,1)/12,0)+IF(AND(Inputs!$E$90&gt;0,BF3&lt;=Inputs!$E$90*12),INDEX(Capex!$C$25:$E$25,1,Inputs!$E$13)/MAX(Inputs!$E$90,1)/12,0)</f>
        <v/>
      </c>
      <c r="BG28" s="3">
        <f>IF(AND(Inputs!$E$84&gt;0,BG3&lt;=Inputs!$E$84*12),INDEX(Capex!$C$19:$E$19,1,Inputs!$E$13)/MAX(Inputs!$E$84,1)/12,0)+IF(AND(Inputs!$E$85&gt;0,BG3&lt;=Inputs!$E$85*12),INDEX(Capex!$C$20:$E$20,1,Inputs!$E$13)/MAX(Inputs!$E$85,1)/12,0)+IF(AND(Inputs!$E$86&gt;0,BG3&lt;=Inputs!$E$86*12),INDEX(Capex!$C$21:$E$21,1,Inputs!$E$13)/MAX(Inputs!$E$86,1)/12,0)+IF(AND(Inputs!$E$87&gt;0,BG3&lt;=Inputs!$E$87*12),INDEX(Capex!$C$22:$E$22,1,Inputs!$E$13)/MAX(Inputs!$E$87,1)/12,0)+IF(AND(Inputs!$E$88&gt;0,BG3&lt;=Inputs!$E$88*12),INDEX(Capex!$C$23:$E$23,1,Inputs!$E$13)/MAX(Inputs!$E$88,1)/12,0)+IF(AND(Inputs!$E$89&gt;0,BG3&lt;=Inputs!$E$89*12),INDEX(Capex!$C$24:$E$24,1,Inputs!$E$13)/MAX(Inputs!$E$89,1)/12,0)+IF(AND(Inputs!$E$90&gt;0,BG3&lt;=Inputs!$E$90*12),INDEX(Capex!$C$25:$E$25,1,Inputs!$E$13)/MAX(Inputs!$E$90,1)/12,0)</f>
        <v/>
      </c>
      <c r="BH28" s="3">
        <f>IF(AND(Inputs!$E$84&gt;0,BH3&lt;=Inputs!$E$84*12),INDEX(Capex!$C$19:$E$19,1,Inputs!$E$13)/MAX(Inputs!$E$84,1)/12,0)+IF(AND(Inputs!$E$85&gt;0,BH3&lt;=Inputs!$E$85*12),INDEX(Capex!$C$20:$E$20,1,Inputs!$E$13)/MAX(Inputs!$E$85,1)/12,0)+IF(AND(Inputs!$E$86&gt;0,BH3&lt;=Inputs!$E$86*12),INDEX(Capex!$C$21:$E$21,1,Inputs!$E$13)/MAX(Inputs!$E$86,1)/12,0)+IF(AND(Inputs!$E$87&gt;0,BH3&lt;=Inputs!$E$87*12),INDEX(Capex!$C$22:$E$22,1,Inputs!$E$13)/MAX(Inputs!$E$87,1)/12,0)+IF(AND(Inputs!$E$88&gt;0,BH3&lt;=Inputs!$E$88*12),INDEX(Capex!$C$23:$E$23,1,Inputs!$E$13)/MAX(Inputs!$E$88,1)/12,0)+IF(AND(Inputs!$E$89&gt;0,BH3&lt;=Inputs!$E$89*12),INDEX(Capex!$C$24:$E$24,1,Inputs!$E$13)/MAX(Inputs!$E$89,1)/12,0)+IF(AND(Inputs!$E$90&gt;0,BH3&lt;=Inputs!$E$90*12),INDEX(Capex!$C$25:$E$25,1,Inputs!$E$13)/MAX(Inputs!$E$90,1)/12,0)</f>
        <v/>
      </c>
      <c r="BI28" s="3">
        <f>IF(AND(Inputs!$E$84&gt;0,BI3&lt;=Inputs!$E$84*12),INDEX(Capex!$C$19:$E$19,1,Inputs!$E$13)/MAX(Inputs!$E$84,1)/12,0)+IF(AND(Inputs!$E$85&gt;0,BI3&lt;=Inputs!$E$85*12),INDEX(Capex!$C$20:$E$20,1,Inputs!$E$13)/MAX(Inputs!$E$85,1)/12,0)+IF(AND(Inputs!$E$86&gt;0,BI3&lt;=Inputs!$E$86*12),INDEX(Capex!$C$21:$E$21,1,Inputs!$E$13)/MAX(Inputs!$E$86,1)/12,0)+IF(AND(Inputs!$E$87&gt;0,BI3&lt;=Inputs!$E$87*12),INDEX(Capex!$C$22:$E$22,1,Inputs!$E$13)/MAX(Inputs!$E$87,1)/12,0)+IF(AND(Inputs!$E$88&gt;0,BI3&lt;=Inputs!$E$88*12),INDEX(Capex!$C$23:$E$23,1,Inputs!$E$13)/MAX(Inputs!$E$88,1)/12,0)+IF(AND(Inputs!$E$89&gt;0,BI3&lt;=Inputs!$E$89*12),INDEX(Capex!$C$24:$E$24,1,Inputs!$E$13)/MAX(Inputs!$E$89,1)/12,0)+IF(AND(Inputs!$E$90&gt;0,BI3&lt;=Inputs!$E$90*12),INDEX(Capex!$C$25:$E$25,1,Inputs!$E$13)/MAX(Inputs!$E$90,1)/12,0)</f>
        <v/>
      </c>
      <c r="BJ28" s="3">
        <f>IF(AND(Inputs!$E$84&gt;0,BJ3&lt;=Inputs!$E$84*12),INDEX(Capex!$C$19:$E$19,1,Inputs!$E$13)/MAX(Inputs!$E$84,1)/12,0)+IF(AND(Inputs!$E$85&gt;0,BJ3&lt;=Inputs!$E$85*12),INDEX(Capex!$C$20:$E$20,1,Inputs!$E$13)/MAX(Inputs!$E$85,1)/12,0)+IF(AND(Inputs!$E$86&gt;0,BJ3&lt;=Inputs!$E$86*12),INDEX(Capex!$C$21:$E$21,1,Inputs!$E$13)/MAX(Inputs!$E$86,1)/12,0)+IF(AND(Inputs!$E$87&gt;0,BJ3&lt;=Inputs!$E$87*12),INDEX(Capex!$C$22:$E$22,1,Inputs!$E$13)/MAX(Inputs!$E$87,1)/12,0)+IF(AND(Inputs!$E$88&gt;0,BJ3&lt;=Inputs!$E$88*12),INDEX(Capex!$C$23:$E$23,1,Inputs!$E$13)/MAX(Inputs!$E$88,1)/12,0)+IF(AND(Inputs!$E$89&gt;0,BJ3&lt;=Inputs!$E$89*12),INDEX(Capex!$C$24:$E$24,1,Inputs!$E$13)/MAX(Inputs!$E$89,1)/12,0)+IF(AND(Inputs!$E$90&gt;0,BJ3&lt;=Inputs!$E$90*12),INDEX(Capex!$C$25:$E$25,1,Inputs!$E$13)/MAX(Inputs!$E$90,1)/12,0)</f>
        <v/>
      </c>
    </row>
    <row r="29">
      <c r="A29" t="inlineStr">
        <is>
          <t>EBIT</t>
        </is>
      </c>
      <c r="C29" s="3">
        <f>C27-C28</f>
        <v/>
      </c>
      <c r="D29" s="3">
        <f>D27-D28</f>
        <v/>
      </c>
      <c r="E29" s="3">
        <f>E27-E28</f>
        <v/>
      </c>
      <c r="F29" s="3">
        <f>F27-F28</f>
        <v/>
      </c>
      <c r="G29" s="3">
        <f>G27-G28</f>
        <v/>
      </c>
      <c r="H29" s="3">
        <f>H27-H28</f>
        <v/>
      </c>
      <c r="I29" s="3">
        <f>I27-I28</f>
        <v/>
      </c>
      <c r="J29" s="3">
        <f>J27-J28</f>
        <v/>
      </c>
      <c r="K29" s="3">
        <f>K27-K28</f>
        <v/>
      </c>
      <c r="L29" s="3">
        <f>L27-L28</f>
        <v/>
      </c>
      <c r="M29" s="3">
        <f>M27-M28</f>
        <v/>
      </c>
      <c r="N29" s="3">
        <f>N27-N28</f>
        <v/>
      </c>
      <c r="O29" s="3">
        <f>O27-O28</f>
        <v/>
      </c>
      <c r="P29" s="3">
        <f>P27-P28</f>
        <v/>
      </c>
      <c r="Q29" s="3">
        <f>Q27-Q28</f>
        <v/>
      </c>
      <c r="R29" s="3">
        <f>R27-R28</f>
        <v/>
      </c>
      <c r="S29" s="3">
        <f>S27-S28</f>
        <v/>
      </c>
      <c r="T29" s="3">
        <f>T27-T28</f>
        <v/>
      </c>
      <c r="U29" s="3">
        <f>U27-U28</f>
        <v/>
      </c>
      <c r="V29" s="3">
        <f>V27-V28</f>
        <v/>
      </c>
      <c r="W29" s="3">
        <f>W27-W28</f>
        <v/>
      </c>
      <c r="X29" s="3">
        <f>X27-X28</f>
        <v/>
      </c>
      <c r="Y29" s="3">
        <f>Y27-Y28</f>
        <v/>
      </c>
      <c r="Z29" s="3">
        <f>Z27-Z28</f>
        <v/>
      </c>
      <c r="AA29" s="3">
        <f>AA27-AA28</f>
        <v/>
      </c>
      <c r="AB29" s="3">
        <f>AB27-AB28</f>
        <v/>
      </c>
      <c r="AC29" s="3">
        <f>AC27-AC28</f>
        <v/>
      </c>
      <c r="AD29" s="3">
        <f>AD27-AD28</f>
        <v/>
      </c>
      <c r="AE29" s="3">
        <f>AE27-AE28</f>
        <v/>
      </c>
      <c r="AF29" s="3">
        <f>AF27-AF28</f>
        <v/>
      </c>
      <c r="AG29" s="3">
        <f>AG27-AG28</f>
        <v/>
      </c>
      <c r="AH29" s="3">
        <f>AH27-AH28</f>
        <v/>
      </c>
      <c r="AI29" s="3">
        <f>AI27-AI28</f>
        <v/>
      </c>
      <c r="AJ29" s="3">
        <f>AJ27-AJ28</f>
        <v/>
      </c>
      <c r="AK29" s="3">
        <f>AK27-AK28</f>
        <v/>
      </c>
      <c r="AL29" s="3">
        <f>AL27-AL28</f>
        <v/>
      </c>
      <c r="AM29" s="3">
        <f>AM27-AM28</f>
        <v/>
      </c>
      <c r="AN29" s="3">
        <f>AN27-AN28</f>
        <v/>
      </c>
      <c r="AO29" s="3">
        <f>AO27-AO28</f>
        <v/>
      </c>
      <c r="AP29" s="3">
        <f>AP27-AP28</f>
        <v/>
      </c>
      <c r="AQ29" s="3">
        <f>AQ27-AQ28</f>
        <v/>
      </c>
      <c r="AR29" s="3">
        <f>AR27-AR28</f>
        <v/>
      </c>
      <c r="AS29" s="3">
        <f>AS27-AS28</f>
        <v/>
      </c>
      <c r="AT29" s="3">
        <f>AT27-AT28</f>
        <v/>
      </c>
      <c r="AU29" s="3">
        <f>AU27-AU28</f>
        <v/>
      </c>
      <c r="AV29" s="3">
        <f>AV27-AV28</f>
        <v/>
      </c>
      <c r="AW29" s="3">
        <f>AW27-AW28</f>
        <v/>
      </c>
      <c r="AX29" s="3">
        <f>AX27-AX28</f>
        <v/>
      </c>
      <c r="AY29" s="3">
        <f>AY27-AY28</f>
        <v/>
      </c>
      <c r="AZ29" s="3">
        <f>AZ27-AZ28</f>
        <v/>
      </c>
      <c r="BA29" s="3">
        <f>BA27-BA28</f>
        <v/>
      </c>
      <c r="BB29" s="3">
        <f>BB27-BB28</f>
        <v/>
      </c>
      <c r="BC29" s="3">
        <f>BC27-BC28</f>
        <v/>
      </c>
      <c r="BD29" s="3">
        <f>BD27-BD28</f>
        <v/>
      </c>
      <c r="BE29" s="3">
        <f>BE27-BE28</f>
        <v/>
      </c>
      <c r="BF29" s="3">
        <f>BF27-BF28</f>
        <v/>
      </c>
      <c r="BG29" s="3">
        <f>BG27-BG28</f>
        <v/>
      </c>
      <c r="BH29" s="3">
        <f>BH27-BH28</f>
        <v/>
      </c>
      <c r="BI29" s="3">
        <f>BI27-BI28</f>
        <v/>
      </c>
      <c r="BJ29" s="3">
        <f>BJ27-BJ28</f>
        <v/>
      </c>
    </row>
    <row r="30">
      <c r="A30" t="inlineStr">
        <is>
          <t>Cash before tax/capex adj.</t>
        </is>
      </c>
      <c r="C30" s="3">
        <f>C27-(INDEX(Annual!$C$27:$G$27,1,C4)+INDEX(Annual!$C$30:$G$30,1,C4)+INDEX(Annual!$C$32:$G$32,1,C4))/12</f>
        <v/>
      </c>
      <c r="D30" s="3">
        <f>D27-(INDEX(Annual!$C$27:$G$27,1,D4)+INDEX(Annual!$C$30:$G$30,1,D4)+INDEX(Annual!$C$32:$G$32,1,D4))/12</f>
        <v/>
      </c>
      <c r="E30" s="3">
        <f>E27-(INDEX(Annual!$C$27:$G$27,1,E4)+INDEX(Annual!$C$30:$G$30,1,E4)+INDEX(Annual!$C$32:$G$32,1,E4))/12</f>
        <v/>
      </c>
      <c r="F30" s="3">
        <f>F27-(INDEX(Annual!$C$27:$G$27,1,F4)+INDEX(Annual!$C$30:$G$30,1,F4)+INDEX(Annual!$C$32:$G$32,1,F4))/12</f>
        <v/>
      </c>
      <c r="G30" s="3">
        <f>G27-(INDEX(Annual!$C$27:$G$27,1,G4)+INDEX(Annual!$C$30:$G$30,1,G4)+INDEX(Annual!$C$32:$G$32,1,G4))/12</f>
        <v/>
      </c>
      <c r="H30" s="3">
        <f>H27-(INDEX(Annual!$C$27:$G$27,1,H4)+INDEX(Annual!$C$30:$G$30,1,H4)+INDEX(Annual!$C$32:$G$32,1,H4))/12</f>
        <v/>
      </c>
      <c r="I30" s="3">
        <f>I27-(INDEX(Annual!$C$27:$G$27,1,I4)+INDEX(Annual!$C$30:$G$30,1,I4)+INDEX(Annual!$C$32:$G$32,1,I4))/12</f>
        <v/>
      </c>
      <c r="J30" s="3">
        <f>J27-(INDEX(Annual!$C$27:$G$27,1,J4)+INDEX(Annual!$C$30:$G$30,1,J4)+INDEX(Annual!$C$32:$G$32,1,J4))/12</f>
        <v/>
      </c>
      <c r="K30" s="3">
        <f>K27-(INDEX(Annual!$C$27:$G$27,1,K4)+INDEX(Annual!$C$30:$G$30,1,K4)+INDEX(Annual!$C$32:$G$32,1,K4))/12</f>
        <v/>
      </c>
      <c r="L30" s="3">
        <f>L27-(INDEX(Annual!$C$27:$G$27,1,L4)+INDEX(Annual!$C$30:$G$30,1,L4)+INDEX(Annual!$C$32:$G$32,1,L4))/12</f>
        <v/>
      </c>
      <c r="M30" s="3">
        <f>M27-(INDEX(Annual!$C$27:$G$27,1,M4)+INDEX(Annual!$C$30:$G$30,1,M4)+INDEX(Annual!$C$32:$G$32,1,M4))/12</f>
        <v/>
      </c>
      <c r="N30" s="3">
        <f>N27-(INDEX(Annual!$C$27:$G$27,1,N4)+INDEX(Annual!$C$30:$G$30,1,N4)+INDEX(Annual!$C$32:$G$32,1,N4))/12</f>
        <v/>
      </c>
      <c r="O30" s="3">
        <f>O27-(INDEX(Annual!$C$27:$G$27,1,O4)+INDEX(Annual!$C$30:$G$30,1,O4)+INDEX(Annual!$C$32:$G$32,1,O4))/12</f>
        <v/>
      </c>
      <c r="P30" s="3">
        <f>P27-(INDEX(Annual!$C$27:$G$27,1,P4)+INDEX(Annual!$C$30:$G$30,1,P4)+INDEX(Annual!$C$32:$G$32,1,P4))/12</f>
        <v/>
      </c>
      <c r="Q30" s="3">
        <f>Q27-(INDEX(Annual!$C$27:$G$27,1,Q4)+INDEX(Annual!$C$30:$G$30,1,Q4)+INDEX(Annual!$C$32:$G$32,1,Q4))/12</f>
        <v/>
      </c>
      <c r="R30" s="3">
        <f>R27-(INDEX(Annual!$C$27:$G$27,1,R4)+INDEX(Annual!$C$30:$G$30,1,R4)+INDEX(Annual!$C$32:$G$32,1,R4))/12</f>
        <v/>
      </c>
      <c r="S30" s="3">
        <f>S27-(INDEX(Annual!$C$27:$G$27,1,S4)+INDEX(Annual!$C$30:$G$30,1,S4)+INDEX(Annual!$C$32:$G$32,1,S4))/12</f>
        <v/>
      </c>
      <c r="T30" s="3">
        <f>T27-(INDEX(Annual!$C$27:$G$27,1,T4)+INDEX(Annual!$C$30:$G$30,1,T4)+INDEX(Annual!$C$32:$G$32,1,T4))/12</f>
        <v/>
      </c>
      <c r="U30" s="3">
        <f>U27-(INDEX(Annual!$C$27:$G$27,1,U4)+INDEX(Annual!$C$30:$G$30,1,U4)+INDEX(Annual!$C$32:$G$32,1,U4))/12</f>
        <v/>
      </c>
      <c r="V30" s="3">
        <f>V27-(INDEX(Annual!$C$27:$G$27,1,V4)+INDEX(Annual!$C$30:$G$30,1,V4)+INDEX(Annual!$C$32:$G$32,1,V4))/12</f>
        <v/>
      </c>
      <c r="W30" s="3">
        <f>W27-(INDEX(Annual!$C$27:$G$27,1,W4)+INDEX(Annual!$C$30:$G$30,1,W4)+INDEX(Annual!$C$32:$G$32,1,W4))/12</f>
        <v/>
      </c>
      <c r="X30" s="3">
        <f>X27-(INDEX(Annual!$C$27:$G$27,1,X4)+INDEX(Annual!$C$30:$G$30,1,X4)+INDEX(Annual!$C$32:$G$32,1,X4))/12</f>
        <v/>
      </c>
      <c r="Y30" s="3">
        <f>Y27-(INDEX(Annual!$C$27:$G$27,1,Y4)+INDEX(Annual!$C$30:$G$30,1,Y4)+INDEX(Annual!$C$32:$G$32,1,Y4))/12</f>
        <v/>
      </c>
      <c r="Z30" s="3">
        <f>Z27-(INDEX(Annual!$C$27:$G$27,1,Z4)+INDEX(Annual!$C$30:$G$30,1,Z4)+INDEX(Annual!$C$32:$G$32,1,Z4))/12</f>
        <v/>
      </c>
      <c r="AA30" s="3">
        <f>AA27-(INDEX(Annual!$C$27:$G$27,1,AA4)+INDEX(Annual!$C$30:$G$30,1,AA4)+INDEX(Annual!$C$32:$G$32,1,AA4))/12</f>
        <v/>
      </c>
      <c r="AB30" s="3">
        <f>AB27-(INDEX(Annual!$C$27:$G$27,1,AB4)+INDEX(Annual!$C$30:$G$30,1,AB4)+INDEX(Annual!$C$32:$G$32,1,AB4))/12</f>
        <v/>
      </c>
      <c r="AC30" s="3">
        <f>AC27-(INDEX(Annual!$C$27:$G$27,1,AC4)+INDEX(Annual!$C$30:$G$30,1,AC4)+INDEX(Annual!$C$32:$G$32,1,AC4))/12</f>
        <v/>
      </c>
      <c r="AD30" s="3">
        <f>AD27-(INDEX(Annual!$C$27:$G$27,1,AD4)+INDEX(Annual!$C$30:$G$30,1,AD4)+INDEX(Annual!$C$32:$G$32,1,AD4))/12</f>
        <v/>
      </c>
      <c r="AE30" s="3">
        <f>AE27-(INDEX(Annual!$C$27:$G$27,1,AE4)+INDEX(Annual!$C$30:$G$30,1,AE4)+INDEX(Annual!$C$32:$G$32,1,AE4))/12</f>
        <v/>
      </c>
      <c r="AF30" s="3">
        <f>AF27-(INDEX(Annual!$C$27:$G$27,1,AF4)+INDEX(Annual!$C$30:$G$30,1,AF4)+INDEX(Annual!$C$32:$G$32,1,AF4))/12</f>
        <v/>
      </c>
      <c r="AG30" s="3">
        <f>AG27-(INDEX(Annual!$C$27:$G$27,1,AG4)+INDEX(Annual!$C$30:$G$30,1,AG4)+INDEX(Annual!$C$32:$G$32,1,AG4))/12</f>
        <v/>
      </c>
      <c r="AH30" s="3">
        <f>AH27-(INDEX(Annual!$C$27:$G$27,1,AH4)+INDEX(Annual!$C$30:$G$30,1,AH4)+INDEX(Annual!$C$32:$G$32,1,AH4))/12</f>
        <v/>
      </c>
      <c r="AI30" s="3">
        <f>AI27-(INDEX(Annual!$C$27:$G$27,1,AI4)+INDEX(Annual!$C$30:$G$30,1,AI4)+INDEX(Annual!$C$32:$G$32,1,AI4))/12</f>
        <v/>
      </c>
      <c r="AJ30" s="3">
        <f>AJ27-(INDEX(Annual!$C$27:$G$27,1,AJ4)+INDEX(Annual!$C$30:$G$30,1,AJ4)+INDEX(Annual!$C$32:$G$32,1,AJ4))/12</f>
        <v/>
      </c>
      <c r="AK30" s="3">
        <f>AK27-(INDEX(Annual!$C$27:$G$27,1,AK4)+INDEX(Annual!$C$30:$G$30,1,AK4)+INDEX(Annual!$C$32:$G$32,1,AK4))/12</f>
        <v/>
      </c>
      <c r="AL30" s="3">
        <f>AL27-(INDEX(Annual!$C$27:$G$27,1,AL4)+INDEX(Annual!$C$30:$G$30,1,AL4)+INDEX(Annual!$C$32:$G$32,1,AL4))/12</f>
        <v/>
      </c>
      <c r="AM30" s="3">
        <f>AM27-(INDEX(Annual!$C$27:$G$27,1,AM4)+INDEX(Annual!$C$30:$G$30,1,AM4)+INDEX(Annual!$C$32:$G$32,1,AM4))/12</f>
        <v/>
      </c>
      <c r="AN30" s="3">
        <f>AN27-(INDEX(Annual!$C$27:$G$27,1,AN4)+INDEX(Annual!$C$30:$G$30,1,AN4)+INDEX(Annual!$C$32:$G$32,1,AN4))/12</f>
        <v/>
      </c>
      <c r="AO30" s="3">
        <f>AO27-(INDEX(Annual!$C$27:$G$27,1,AO4)+INDEX(Annual!$C$30:$G$30,1,AO4)+INDEX(Annual!$C$32:$G$32,1,AO4))/12</f>
        <v/>
      </c>
      <c r="AP30" s="3">
        <f>AP27-(INDEX(Annual!$C$27:$G$27,1,AP4)+INDEX(Annual!$C$30:$G$30,1,AP4)+INDEX(Annual!$C$32:$G$32,1,AP4))/12</f>
        <v/>
      </c>
      <c r="AQ30" s="3">
        <f>AQ27-(INDEX(Annual!$C$27:$G$27,1,AQ4)+INDEX(Annual!$C$30:$G$30,1,AQ4)+INDEX(Annual!$C$32:$G$32,1,AQ4))/12</f>
        <v/>
      </c>
      <c r="AR30" s="3">
        <f>AR27-(INDEX(Annual!$C$27:$G$27,1,AR4)+INDEX(Annual!$C$30:$G$30,1,AR4)+INDEX(Annual!$C$32:$G$32,1,AR4))/12</f>
        <v/>
      </c>
      <c r="AS30" s="3">
        <f>AS27-(INDEX(Annual!$C$27:$G$27,1,AS4)+INDEX(Annual!$C$30:$G$30,1,AS4)+INDEX(Annual!$C$32:$G$32,1,AS4))/12</f>
        <v/>
      </c>
      <c r="AT30" s="3">
        <f>AT27-(INDEX(Annual!$C$27:$G$27,1,AT4)+INDEX(Annual!$C$30:$G$30,1,AT4)+INDEX(Annual!$C$32:$G$32,1,AT4))/12</f>
        <v/>
      </c>
      <c r="AU30" s="3">
        <f>AU27-(INDEX(Annual!$C$27:$G$27,1,AU4)+INDEX(Annual!$C$30:$G$30,1,AU4)+INDEX(Annual!$C$32:$G$32,1,AU4))/12</f>
        <v/>
      </c>
      <c r="AV30" s="3">
        <f>AV27-(INDEX(Annual!$C$27:$G$27,1,AV4)+INDEX(Annual!$C$30:$G$30,1,AV4)+INDEX(Annual!$C$32:$G$32,1,AV4))/12</f>
        <v/>
      </c>
      <c r="AW30" s="3">
        <f>AW27-(INDEX(Annual!$C$27:$G$27,1,AW4)+INDEX(Annual!$C$30:$G$30,1,AW4)+INDEX(Annual!$C$32:$G$32,1,AW4))/12</f>
        <v/>
      </c>
      <c r="AX30" s="3">
        <f>AX27-(INDEX(Annual!$C$27:$G$27,1,AX4)+INDEX(Annual!$C$30:$G$30,1,AX4)+INDEX(Annual!$C$32:$G$32,1,AX4))/12</f>
        <v/>
      </c>
      <c r="AY30" s="3">
        <f>AY27-(INDEX(Annual!$C$27:$G$27,1,AY4)+INDEX(Annual!$C$30:$G$30,1,AY4)+INDEX(Annual!$C$32:$G$32,1,AY4))/12</f>
        <v/>
      </c>
      <c r="AZ30" s="3">
        <f>AZ27-(INDEX(Annual!$C$27:$G$27,1,AZ4)+INDEX(Annual!$C$30:$G$30,1,AZ4)+INDEX(Annual!$C$32:$G$32,1,AZ4))/12</f>
        <v/>
      </c>
      <c r="BA30" s="3">
        <f>BA27-(INDEX(Annual!$C$27:$G$27,1,BA4)+INDEX(Annual!$C$30:$G$30,1,BA4)+INDEX(Annual!$C$32:$G$32,1,BA4))/12</f>
        <v/>
      </c>
      <c r="BB30" s="3">
        <f>BB27-(INDEX(Annual!$C$27:$G$27,1,BB4)+INDEX(Annual!$C$30:$G$30,1,BB4)+INDEX(Annual!$C$32:$G$32,1,BB4))/12</f>
        <v/>
      </c>
      <c r="BC30" s="3">
        <f>BC27-(INDEX(Annual!$C$27:$G$27,1,BC4)+INDEX(Annual!$C$30:$G$30,1,BC4)+INDEX(Annual!$C$32:$G$32,1,BC4))/12</f>
        <v/>
      </c>
      <c r="BD30" s="3">
        <f>BD27-(INDEX(Annual!$C$27:$G$27,1,BD4)+INDEX(Annual!$C$30:$G$30,1,BD4)+INDEX(Annual!$C$32:$G$32,1,BD4))/12</f>
        <v/>
      </c>
      <c r="BE30" s="3">
        <f>BE27-(INDEX(Annual!$C$27:$G$27,1,BE4)+INDEX(Annual!$C$30:$G$30,1,BE4)+INDEX(Annual!$C$32:$G$32,1,BE4))/12</f>
        <v/>
      </c>
      <c r="BF30" s="3">
        <f>BF27-(INDEX(Annual!$C$27:$G$27,1,BF4)+INDEX(Annual!$C$30:$G$30,1,BF4)+INDEX(Annual!$C$32:$G$32,1,BF4))/12</f>
        <v/>
      </c>
      <c r="BG30" s="3">
        <f>BG27-(INDEX(Annual!$C$27:$G$27,1,BG4)+INDEX(Annual!$C$30:$G$30,1,BG4)+INDEX(Annual!$C$32:$G$32,1,BG4))/12</f>
        <v/>
      </c>
      <c r="BH30" s="3">
        <f>BH27-(INDEX(Annual!$C$27:$G$27,1,BH4)+INDEX(Annual!$C$30:$G$30,1,BH4)+INDEX(Annual!$C$32:$G$32,1,BH4))/12</f>
        <v/>
      </c>
      <c r="BI30" s="3">
        <f>BI27-(INDEX(Annual!$C$27:$G$27,1,BI4)+INDEX(Annual!$C$30:$G$30,1,BI4)+INDEX(Annual!$C$32:$G$32,1,BI4))/12</f>
        <v/>
      </c>
      <c r="BJ30" s="3">
        <f>BJ27-(INDEX(Annual!$C$27:$G$27,1,BJ4)+INDEX(Annual!$C$30:$G$30,1,BJ4)+INDEX(Annual!$C$32:$G$32,1,BJ4))/12</f>
        <v/>
      </c>
    </row>
    <row r="31">
      <c r="A31" s="18" t="inlineStr">
        <is>
          <t>Cumulative cash (after investment)</t>
        </is>
      </c>
      <c r="C31" s="3">
        <f>-INDEX(Capex!$C$15:$E$15,1,Inputs!$E$13)+C30</f>
        <v/>
      </c>
      <c r="D31" s="3">
        <f>C31+D30</f>
        <v/>
      </c>
      <c r="E31" s="3">
        <f>D31+E30</f>
        <v/>
      </c>
      <c r="F31" s="3">
        <f>E31+F30</f>
        <v/>
      </c>
      <c r="G31" s="3">
        <f>F31+G30</f>
        <v/>
      </c>
      <c r="H31" s="3">
        <f>G31+H30</f>
        <v/>
      </c>
      <c r="I31" s="3">
        <f>H31+I30</f>
        <v/>
      </c>
      <c r="J31" s="3">
        <f>I31+J30</f>
        <v/>
      </c>
      <c r="K31" s="3">
        <f>J31+K30</f>
        <v/>
      </c>
      <c r="L31" s="3">
        <f>K31+L30</f>
        <v/>
      </c>
      <c r="M31" s="3">
        <f>L31+M30</f>
        <v/>
      </c>
      <c r="N31" s="3">
        <f>M31+N30</f>
        <v/>
      </c>
      <c r="O31" s="3">
        <f>N31+O30</f>
        <v/>
      </c>
      <c r="P31" s="3">
        <f>O31+P30</f>
        <v/>
      </c>
      <c r="Q31" s="3">
        <f>P31+Q30</f>
        <v/>
      </c>
      <c r="R31" s="3">
        <f>Q31+R30</f>
        <v/>
      </c>
      <c r="S31" s="3">
        <f>R31+S30</f>
        <v/>
      </c>
      <c r="T31" s="3">
        <f>S31+T30</f>
        <v/>
      </c>
      <c r="U31" s="3">
        <f>T31+U30</f>
        <v/>
      </c>
      <c r="V31" s="3">
        <f>U31+V30</f>
        <v/>
      </c>
      <c r="W31" s="3">
        <f>V31+W30</f>
        <v/>
      </c>
      <c r="X31" s="3">
        <f>W31+X30</f>
        <v/>
      </c>
      <c r="Y31" s="3">
        <f>X31+Y30</f>
        <v/>
      </c>
      <c r="Z31" s="3">
        <f>Y31+Z30</f>
        <v/>
      </c>
      <c r="AA31" s="3">
        <f>Z31+AA30</f>
        <v/>
      </c>
      <c r="AB31" s="3">
        <f>AA31+AB30</f>
        <v/>
      </c>
      <c r="AC31" s="3">
        <f>AB31+AC30</f>
        <v/>
      </c>
      <c r="AD31" s="3">
        <f>AC31+AD30</f>
        <v/>
      </c>
      <c r="AE31" s="3">
        <f>AD31+AE30</f>
        <v/>
      </c>
      <c r="AF31" s="3">
        <f>AE31+AF30</f>
        <v/>
      </c>
      <c r="AG31" s="3">
        <f>AF31+AG30</f>
        <v/>
      </c>
      <c r="AH31" s="3">
        <f>AG31+AH30</f>
        <v/>
      </c>
      <c r="AI31" s="3">
        <f>AH31+AI30</f>
        <v/>
      </c>
      <c r="AJ31" s="3">
        <f>AI31+AJ30</f>
        <v/>
      </c>
      <c r="AK31" s="3">
        <f>AJ31+AK30</f>
        <v/>
      </c>
      <c r="AL31" s="3">
        <f>AK31+AL30</f>
        <v/>
      </c>
      <c r="AM31" s="3">
        <f>AL31+AM30</f>
        <v/>
      </c>
      <c r="AN31" s="3">
        <f>AM31+AN30</f>
        <v/>
      </c>
      <c r="AO31" s="3">
        <f>AN31+AO30</f>
        <v/>
      </c>
      <c r="AP31" s="3">
        <f>AO31+AP30</f>
        <v/>
      </c>
      <c r="AQ31" s="3">
        <f>AP31+AQ30</f>
        <v/>
      </c>
      <c r="AR31" s="3">
        <f>AQ31+AR30</f>
        <v/>
      </c>
      <c r="AS31" s="3">
        <f>AR31+AS30</f>
        <v/>
      </c>
      <c r="AT31" s="3">
        <f>AS31+AT30</f>
        <v/>
      </c>
      <c r="AU31" s="3">
        <f>AT31+AU30</f>
        <v/>
      </c>
      <c r="AV31" s="3">
        <f>AU31+AV30</f>
        <v/>
      </c>
      <c r="AW31" s="3">
        <f>AV31+AW30</f>
        <v/>
      </c>
      <c r="AX31" s="3">
        <f>AW31+AX30</f>
        <v/>
      </c>
      <c r="AY31" s="3">
        <f>AX31+AY30</f>
        <v/>
      </c>
      <c r="AZ31" s="3">
        <f>AY31+AZ30</f>
        <v/>
      </c>
      <c r="BA31" s="3">
        <f>AZ31+BA30</f>
        <v/>
      </c>
      <c r="BB31" s="3">
        <f>BA31+BB30</f>
        <v/>
      </c>
      <c r="BC31" s="3">
        <f>BB31+BC30</f>
        <v/>
      </c>
      <c r="BD31" s="3">
        <f>BC31+BD30</f>
        <v/>
      </c>
      <c r="BE31" s="3">
        <f>BD31+BE30</f>
        <v/>
      </c>
      <c r="BF31" s="3">
        <f>BE31+BF30</f>
        <v/>
      </c>
      <c r="BG31" s="3">
        <f>BF31+BG30</f>
        <v/>
      </c>
      <c r="BH31" s="3">
        <f>BG31+BH30</f>
        <v/>
      </c>
      <c r="BI31" s="3">
        <f>BH31+BI30</f>
        <v/>
      </c>
      <c r="BJ31" s="3">
        <f>BI31+BJ30</f>
        <v/>
      </c>
    </row>
    <row r="32">
      <c r="A32" t="inlineStr">
        <is>
          <t>Payback flag</t>
        </is>
      </c>
      <c r="C32" s="7">
        <f>IF(C31&gt;=0,C3,999)</f>
        <v/>
      </c>
      <c r="D32" s="7">
        <f>IF(D31&gt;=0,D3,999)</f>
        <v/>
      </c>
      <c r="E32" s="7">
        <f>IF(E31&gt;=0,E3,999)</f>
        <v/>
      </c>
      <c r="F32" s="7">
        <f>IF(F31&gt;=0,F3,999)</f>
        <v/>
      </c>
      <c r="G32" s="7">
        <f>IF(G31&gt;=0,G3,999)</f>
        <v/>
      </c>
      <c r="H32" s="7">
        <f>IF(H31&gt;=0,H3,999)</f>
        <v/>
      </c>
      <c r="I32" s="7">
        <f>IF(I31&gt;=0,I3,999)</f>
        <v/>
      </c>
      <c r="J32" s="7">
        <f>IF(J31&gt;=0,J3,999)</f>
        <v/>
      </c>
      <c r="K32" s="7">
        <f>IF(K31&gt;=0,K3,999)</f>
        <v/>
      </c>
      <c r="L32" s="7">
        <f>IF(L31&gt;=0,L3,999)</f>
        <v/>
      </c>
      <c r="M32" s="7">
        <f>IF(M31&gt;=0,M3,999)</f>
        <v/>
      </c>
      <c r="N32" s="7">
        <f>IF(N31&gt;=0,N3,999)</f>
        <v/>
      </c>
      <c r="O32" s="7">
        <f>IF(O31&gt;=0,O3,999)</f>
        <v/>
      </c>
      <c r="P32" s="7">
        <f>IF(P31&gt;=0,P3,999)</f>
        <v/>
      </c>
      <c r="Q32" s="7">
        <f>IF(Q31&gt;=0,Q3,999)</f>
        <v/>
      </c>
      <c r="R32" s="7">
        <f>IF(R31&gt;=0,R3,999)</f>
        <v/>
      </c>
      <c r="S32" s="7">
        <f>IF(S31&gt;=0,S3,999)</f>
        <v/>
      </c>
      <c r="T32" s="7">
        <f>IF(T31&gt;=0,T3,999)</f>
        <v/>
      </c>
      <c r="U32" s="7">
        <f>IF(U31&gt;=0,U3,999)</f>
        <v/>
      </c>
      <c r="V32" s="7">
        <f>IF(V31&gt;=0,V3,999)</f>
        <v/>
      </c>
      <c r="W32" s="7">
        <f>IF(W31&gt;=0,W3,999)</f>
        <v/>
      </c>
      <c r="X32" s="7">
        <f>IF(X31&gt;=0,X3,999)</f>
        <v/>
      </c>
      <c r="Y32" s="7">
        <f>IF(Y31&gt;=0,Y3,999)</f>
        <v/>
      </c>
      <c r="Z32" s="7">
        <f>IF(Z31&gt;=0,Z3,999)</f>
        <v/>
      </c>
      <c r="AA32" s="7">
        <f>IF(AA31&gt;=0,AA3,999)</f>
        <v/>
      </c>
      <c r="AB32" s="7">
        <f>IF(AB31&gt;=0,AB3,999)</f>
        <v/>
      </c>
      <c r="AC32" s="7">
        <f>IF(AC31&gt;=0,AC3,999)</f>
        <v/>
      </c>
      <c r="AD32" s="7">
        <f>IF(AD31&gt;=0,AD3,999)</f>
        <v/>
      </c>
      <c r="AE32" s="7">
        <f>IF(AE31&gt;=0,AE3,999)</f>
        <v/>
      </c>
      <c r="AF32" s="7">
        <f>IF(AF31&gt;=0,AF3,999)</f>
        <v/>
      </c>
      <c r="AG32" s="7">
        <f>IF(AG31&gt;=0,AG3,999)</f>
        <v/>
      </c>
      <c r="AH32" s="7">
        <f>IF(AH31&gt;=0,AH3,999)</f>
        <v/>
      </c>
      <c r="AI32" s="7">
        <f>IF(AI31&gt;=0,AI3,999)</f>
        <v/>
      </c>
      <c r="AJ32" s="7">
        <f>IF(AJ31&gt;=0,AJ3,999)</f>
        <v/>
      </c>
      <c r="AK32" s="7">
        <f>IF(AK31&gt;=0,AK3,999)</f>
        <v/>
      </c>
      <c r="AL32" s="7">
        <f>IF(AL31&gt;=0,AL3,999)</f>
        <v/>
      </c>
      <c r="AM32" s="7">
        <f>IF(AM31&gt;=0,AM3,999)</f>
        <v/>
      </c>
      <c r="AN32" s="7">
        <f>IF(AN31&gt;=0,AN3,999)</f>
        <v/>
      </c>
      <c r="AO32" s="7">
        <f>IF(AO31&gt;=0,AO3,999)</f>
        <v/>
      </c>
      <c r="AP32" s="7">
        <f>IF(AP31&gt;=0,AP3,999)</f>
        <v/>
      </c>
      <c r="AQ32" s="7">
        <f>IF(AQ31&gt;=0,AQ3,999)</f>
        <v/>
      </c>
      <c r="AR32" s="7">
        <f>IF(AR31&gt;=0,AR3,999)</f>
        <v/>
      </c>
      <c r="AS32" s="7">
        <f>IF(AS31&gt;=0,AS3,999)</f>
        <v/>
      </c>
      <c r="AT32" s="7">
        <f>IF(AT31&gt;=0,AT3,999)</f>
        <v/>
      </c>
      <c r="AU32" s="7">
        <f>IF(AU31&gt;=0,AU3,999)</f>
        <v/>
      </c>
      <c r="AV32" s="7">
        <f>IF(AV31&gt;=0,AV3,999)</f>
        <v/>
      </c>
      <c r="AW32" s="7">
        <f>IF(AW31&gt;=0,AW3,999)</f>
        <v/>
      </c>
      <c r="AX32" s="7">
        <f>IF(AX31&gt;=0,AX3,999)</f>
        <v/>
      </c>
      <c r="AY32" s="7">
        <f>IF(AY31&gt;=0,AY3,999)</f>
        <v/>
      </c>
      <c r="AZ32" s="7">
        <f>IF(AZ31&gt;=0,AZ3,999)</f>
        <v/>
      </c>
      <c r="BA32" s="7">
        <f>IF(BA31&gt;=0,BA3,999)</f>
        <v/>
      </c>
      <c r="BB32" s="7">
        <f>IF(BB31&gt;=0,BB3,999)</f>
        <v/>
      </c>
      <c r="BC32" s="7">
        <f>IF(BC31&gt;=0,BC3,999)</f>
        <v/>
      </c>
      <c r="BD32" s="7">
        <f>IF(BD31&gt;=0,BD3,999)</f>
        <v/>
      </c>
      <c r="BE32" s="7">
        <f>IF(BE31&gt;=0,BE3,999)</f>
        <v/>
      </c>
      <c r="BF32" s="7">
        <f>IF(BF31&gt;=0,BF3,999)</f>
        <v/>
      </c>
      <c r="BG32" s="7">
        <f>IF(BG31&gt;=0,BG3,999)</f>
        <v/>
      </c>
      <c r="BH32" s="7">
        <f>IF(BH31&gt;=0,BH3,999)</f>
        <v/>
      </c>
      <c r="BI32" s="7">
        <f>IF(BI31&gt;=0,BI3,999)</f>
        <v/>
      </c>
      <c r="BJ32" s="7">
        <f>IF(BJ31&gt;=0,BJ3,999)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8" t="inlineStr">
        <is>
          <t>Drive-thru — monthly engine — BASE scenario (AMD)</t>
        </is>
      </c>
    </row>
    <row r="2">
      <c r="B2" s="18" t="inlineStr">
        <is>
          <t>Units</t>
        </is>
      </c>
      <c r="C2" s="18">
        <f>CHOOSE(C5,"Jan","Feb","Mar","Apr","May","Jun","Jul","Aug","Sep","Oct","Nov","Dec")&amp;" Y"&amp;C4</f>
        <v/>
      </c>
      <c r="D2" s="18">
        <f>CHOOSE(D5,"Jan","Feb","Mar","Apr","May","Jun","Jul","Aug","Sep","Oct","Nov","Dec")&amp;" Y"&amp;D4</f>
        <v/>
      </c>
      <c r="E2" s="18">
        <f>CHOOSE(E5,"Jan","Feb","Mar","Apr","May","Jun","Jul","Aug","Sep","Oct","Nov","Dec")&amp;" Y"&amp;E4</f>
        <v/>
      </c>
      <c r="F2" s="18">
        <f>CHOOSE(F5,"Jan","Feb","Mar","Apr","May","Jun","Jul","Aug","Sep","Oct","Nov","Dec")&amp;" Y"&amp;F4</f>
        <v/>
      </c>
      <c r="G2" s="18">
        <f>CHOOSE(G5,"Jan","Feb","Mar","Apr","May","Jun","Jul","Aug","Sep","Oct","Nov","Dec")&amp;" Y"&amp;G4</f>
        <v/>
      </c>
      <c r="H2" s="18">
        <f>CHOOSE(H5,"Jan","Feb","Mar","Apr","May","Jun","Jul","Aug","Sep","Oct","Nov","Dec")&amp;" Y"&amp;H4</f>
        <v/>
      </c>
      <c r="I2" s="18">
        <f>CHOOSE(I5,"Jan","Feb","Mar","Apr","May","Jun","Jul","Aug","Sep","Oct","Nov","Dec")&amp;" Y"&amp;I4</f>
        <v/>
      </c>
      <c r="J2" s="18">
        <f>CHOOSE(J5,"Jan","Feb","Mar","Apr","May","Jun","Jul","Aug","Sep","Oct","Nov","Dec")&amp;" Y"&amp;J4</f>
        <v/>
      </c>
      <c r="K2" s="18">
        <f>CHOOSE(K5,"Jan","Feb","Mar","Apr","May","Jun","Jul","Aug","Sep","Oct","Nov","Dec")&amp;" Y"&amp;K4</f>
        <v/>
      </c>
      <c r="L2" s="18">
        <f>CHOOSE(L5,"Jan","Feb","Mar","Apr","May","Jun","Jul","Aug","Sep","Oct","Nov","Dec")&amp;" Y"&amp;L4</f>
        <v/>
      </c>
      <c r="M2" s="18">
        <f>CHOOSE(M5,"Jan","Feb","Mar","Apr","May","Jun","Jul","Aug","Sep","Oct","Nov","Dec")&amp;" Y"&amp;M4</f>
        <v/>
      </c>
      <c r="N2" s="18">
        <f>CHOOSE(N5,"Jan","Feb","Mar","Apr","May","Jun","Jul","Aug","Sep","Oct","Nov","Dec")&amp;" Y"&amp;N4</f>
        <v/>
      </c>
      <c r="O2" s="18">
        <f>CHOOSE(O5,"Jan","Feb","Mar","Apr","May","Jun","Jul","Aug","Sep","Oct","Nov","Dec")&amp;" Y"&amp;O4</f>
        <v/>
      </c>
      <c r="P2" s="18">
        <f>CHOOSE(P5,"Jan","Feb","Mar","Apr","May","Jun","Jul","Aug","Sep","Oct","Nov","Dec")&amp;" Y"&amp;P4</f>
        <v/>
      </c>
      <c r="Q2" s="18">
        <f>CHOOSE(Q5,"Jan","Feb","Mar","Apr","May","Jun","Jul","Aug","Sep","Oct","Nov","Dec")&amp;" Y"&amp;Q4</f>
        <v/>
      </c>
      <c r="R2" s="18">
        <f>CHOOSE(R5,"Jan","Feb","Mar","Apr","May","Jun","Jul","Aug","Sep","Oct","Nov","Dec")&amp;" Y"&amp;R4</f>
        <v/>
      </c>
      <c r="S2" s="18">
        <f>CHOOSE(S5,"Jan","Feb","Mar","Apr","May","Jun","Jul","Aug","Sep","Oct","Nov","Dec")&amp;" Y"&amp;S4</f>
        <v/>
      </c>
      <c r="T2" s="18">
        <f>CHOOSE(T5,"Jan","Feb","Mar","Apr","May","Jun","Jul","Aug","Sep","Oct","Nov","Dec")&amp;" Y"&amp;T4</f>
        <v/>
      </c>
      <c r="U2" s="18">
        <f>CHOOSE(U5,"Jan","Feb","Mar","Apr","May","Jun","Jul","Aug","Sep","Oct","Nov","Dec")&amp;" Y"&amp;U4</f>
        <v/>
      </c>
      <c r="V2" s="18">
        <f>CHOOSE(V5,"Jan","Feb","Mar","Apr","May","Jun","Jul","Aug","Sep","Oct","Nov","Dec")&amp;" Y"&amp;V4</f>
        <v/>
      </c>
      <c r="W2" s="18">
        <f>CHOOSE(W5,"Jan","Feb","Mar","Apr","May","Jun","Jul","Aug","Sep","Oct","Nov","Dec")&amp;" Y"&amp;W4</f>
        <v/>
      </c>
      <c r="X2" s="18">
        <f>CHOOSE(X5,"Jan","Feb","Mar","Apr","May","Jun","Jul","Aug","Sep","Oct","Nov","Dec")&amp;" Y"&amp;X4</f>
        <v/>
      </c>
      <c r="Y2" s="18">
        <f>CHOOSE(Y5,"Jan","Feb","Mar","Apr","May","Jun","Jul","Aug","Sep","Oct","Nov","Dec")&amp;" Y"&amp;Y4</f>
        <v/>
      </c>
      <c r="Z2" s="18">
        <f>CHOOSE(Z5,"Jan","Feb","Mar","Apr","May","Jun","Jul","Aug","Sep","Oct","Nov","Dec")&amp;" Y"&amp;Z4</f>
        <v/>
      </c>
      <c r="AA2" s="18">
        <f>CHOOSE(AA5,"Jan","Feb","Mar","Apr","May","Jun","Jul","Aug","Sep","Oct","Nov","Dec")&amp;" Y"&amp;AA4</f>
        <v/>
      </c>
      <c r="AB2" s="18">
        <f>CHOOSE(AB5,"Jan","Feb","Mar","Apr","May","Jun","Jul","Aug","Sep","Oct","Nov","Dec")&amp;" Y"&amp;AB4</f>
        <v/>
      </c>
      <c r="AC2" s="18">
        <f>CHOOSE(AC5,"Jan","Feb","Mar","Apr","May","Jun","Jul","Aug","Sep","Oct","Nov","Dec")&amp;" Y"&amp;AC4</f>
        <v/>
      </c>
      <c r="AD2" s="18">
        <f>CHOOSE(AD5,"Jan","Feb","Mar","Apr","May","Jun","Jul","Aug","Sep","Oct","Nov","Dec")&amp;" Y"&amp;AD4</f>
        <v/>
      </c>
      <c r="AE2" s="18">
        <f>CHOOSE(AE5,"Jan","Feb","Mar","Apr","May","Jun","Jul","Aug","Sep","Oct","Nov","Dec")&amp;" Y"&amp;AE4</f>
        <v/>
      </c>
      <c r="AF2" s="18">
        <f>CHOOSE(AF5,"Jan","Feb","Mar","Apr","May","Jun","Jul","Aug","Sep","Oct","Nov","Dec")&amp;" Y"&amp;AF4</f>
        <v/>
      </c>
      <c r="AG2" s="18">
        <f>CHOOSE(AG5,"Jan","Feb","Mar","Apr","May","Jun","Jul","Aug","Sep","Oct","Nov","Dec")&amp;" Y"&amp;AG4</f>
        <v/>
      </c>
      <c r="AH2" s="18">
        <f>CHOOSE(AH5,"Jan","Feb","Mar","Apr","May","Jun","Jul","Aug","Sep","Oct","Nov","Dec")&amp;" Y"&amp;AH4</f>
        <v/>
      </c>
      <c r="AI2" s="18">
        <f>CHOOSE(AI5,"Jan","Feb","Mar","Apr","May","Jun","Jul","Aug","Sep","Oct","Nov","Dec")&amp;" Y"&amp;AI4</f>
        <v/>
      </c>
      <c r="AJ2" s="18">
        <f>CHOOSE(AJ5,"Jan","Feb","Mar","Apr","May","Jun","Jul","Aug","Sep","Oct","Nov","Dec")&amp;" Y"&amp;AJ4</f>
        <v/>
      </c>
      <c r="AK2" s="18">
        <f>CHOOSE(AK5,"Jan","Feb","Mar","Apr","May","Jun","Jul","Aug","Sep","Oct","Nov","Dec")&amp;" Y"&amp;AK4</f>
        <v/>
      </c>
      <c r="AL2" s="18">
        <f>CHOOSE(AL5,"Jan","Feb","Mar","Apr","May","Jun","Jul","Aug","Sep","Oct","Nov","Dec")&amp;" Y"&amp;AL4</f>
        <v/>
      </c>
      <c r="AM2" s="18">
        <f>CHOOSE(AM5,"Jan","Feb","Mar","Apr","May","Jun","Jul","Aug","Sep","Oct","Nov","Dec")&amp;" Y"&amp;AM4</f>
        <v/>
      </c>
      <c r="AN2" s="18">
        <f>CHOOSE(AN5,"Jan","Feb","Mar","Apr","May","Jun","Jul","Aug","Sep","Oct","Nov","Dec")&amp;" Y"&amp;AN4</f>
        <v/>
      </c>
      <c r="AO2" s="18">
        <f>CHOOSE(AO5,"Jan","Feb","Mar","Apr","May","Jun","Jul","Aug","Sep","Oct","Nov","Dec")&amp;" Y"&amp;AO4</f>
        <v/>
      </c>
      <c r="AP2" s="18">
        <f>CHOOSE(AP5,"Jan","Feb","Mar","Apr","May","Jun","Jul","Aug","Sep","Oct","Nov","Dec")&amp;" Y"&amp;AP4</f>
        <v/>
      </c>
      <c r="AQ2" s="18">
        <f>CHOOSE(AQ5,"Jan","Feb","Mar","Apr","May","Jun","Jul","Aug","Sep","Oct","Nov","Dec")&amp;" Y"&amp;AQ4</f>
        <v/>
      </c>
      <c r="AR2" s="18">
        <f>CHOOSE(AR5,"Jan","Feb","Mar","Apr","May","Jun","Jul","Aug","Sep","Oct","Nov","Dec")&amp;" Y"&amp;AR4</f>
        <v/>
      </c>
      <c r="AS2" s="18">
        <f>CHOOSE(AS5,"Jan","Feb","Mar","Apr","May","Jun","Jul","Aug","Sep","Oct","Nov","Dec")&amp;" Y"&amp;AS4</f>
        <v/>
      </c>
      <c r="AT2" s="18">
        <f>CHOOSE(AT5,"Jan","Feb","Mar","Apr","May","Jun","Jul","Aug","Sep","Oct","Nov","Dec")&amp;" Y"&amp;AT4</f>
        <v/>
      </c>
      <c r="AU2" s="18">
        <f>CHOOSE(AU5,"Jan","Feb","Mar","Apr","May","Jun","Jul","Aug","Sep","Oct","Nov","Dec")&amp;" Y"&amp;AU4</f>
        <v/>
      </c>
      <c r="AV2" s="18">
        <f>CHOOSE(AV5,"Jan","Feb","Mar","Apr","May","Jun","Jul","Aug","Sep","Oct","Nov","Dec")&amp;" Y"&amp;AV4</f>
        <v/>
      </c>
      <c r="AW2" s="18">
        <f>CHOOSE(AW5,"Jan","Feb","Mar","Apr","May","Jun","Jul","Aug","Sep","Oct","Nov","Dec")&amp;" Y"&amp;AW4</f>
        <v/>
      </c>
      <c r="AX2" s="18">
        <f>CHOOSE(AX5,"Jan","Feb","Mar","Apr","May","Jun","Jul","Aug","Sep","Oct","Nov","Dec")&amp;" Y"&amp;AX4</f>
        <v/>
      </c>
      <c r="AY2" s="18">
        <f>CHOOSE(AY5,"Jan","Feb","Mar","Apr","May","Jun","Jul","Aug","Sep","Oct","Nov","Dec")&amp;" Y"&amp;AY4</f>
        <v/>
      </c>
      <c r="AZ2" s="18">
        <f>CHOOSE(AZ5,"Jan","Feb","Mar","Apr","May","Jun","Jul","Aug","Sep","Oct","Nov","Dec")&amp;" Y"&amp;AZ4</f>
        <v/>
      </c>
      <c r="BA2" s="18">
        <f>CHOOSE(BA5,"Jan","Feb","Mar","Apr","May","Jun","Jul","Aug","Sep","Oct","Nov","Dec")&amp;" Y"&amp;BA4</f>
        <v/>
      </c>
      <c r="BB2" s="18">
        <f>CHOOSE(BB5,"Jan","Feb","Mar","Apr","May","Jun","Jul","Aug","Sep","Oct","Nov","Dec")&amp;" Y"&amp;BB4</f>
        <v/>
      </c>
      <c r="BC2" s="18">
        <f>CHOOSE(BC5,"Jan","Feb","Mar","Apr","May","Jun","Jul","Aug","Sep","Oct","Nov","Dec")&amp;" Y"&amp;BC4</f>
        <v/>
      </c>
      <c r="BD2" s="18">
        <f>CHOOSE(BD5,"Jan","Feb","Mar","Apr","May","Jun","Jul","Aug","Sep","Oct","Nov","Dec")&amp;" Y"&amp;BD4</f>
        <v/>
      </c>
      <c r="BE2" s="18">
        <f>CHOOSE(BE5,"Jan","Feb","Mar","Apr","May","Jun","Jul","Aug","Sep","Oct","Nov","Dec")&amp;" Y"&amp;BE4</f>
        <v/>
      </c>
      <c r="BF2" s="18">
        <f>CHOOSE(BF5,"Jan","Feb","Mar","Apr","May","Jun","Jul","Aug","Sep","Oct","Nov","Dec")&amp;" Y"&amp;BF4</f>
        <v/>
      </c>
      <c r="BG2" s="18">
        <f>CHOOSE(BG5,"Jan","Feb","Mar","Apr","May","Jun","Jul","Aug","Sep","Oct","Nov","Dec")&amp;" Y"&amp;BG4</f>
        <v/>
      </c>
      <c r="BH2" s="18">
        <f>CHOOSE(BH5,"Jan","Feb","Mar","Apr","May","Jun","Jul","Aug","Sep","Oct","Nov","Dec")&amp;" Y"&amp;BH4</f>
        <v/>
      </c>
      <c r="BI2" s="18">
        <f>CHOOSE(BI5,"Jan","Feb","Mar","Apr","May","Jun","Jul","Aug","Sep","Oct","Nov","Dec")&amp;" Y"&amp;BI4</f>
        <v/>
      </c>
      <c r="BJ2" s="18">
        <f>CHOOSE(BJ5,"Jan","Feb","Mar","Apr","May","Jun","Jul","Aug","Sep","Oct","Nov","Dec")&amp;" Y"&amp;BJ4</f>
        <v/>
      </c>
    </row>
    <row r="3">
      <c r="A3" t="inlineStr">
        <is>
          <t>Month #</t>
        </is>
      </c>
      <c r="C3" s="7" t="n">
        <v>1</v>
      </c>
      <c r="D3" s="7" t="n">
        <v>2</v>
      </c>
      <c r="E3" s="7" t="n">
        <v>3</v>
      </c>
      <c r="F3" s="7" t="n">
        <v>4</v>
      </c>
      <c r="G3" s="7" t="n">
        <v>5</v>
      </c>
      <c r="H3" s="7" t="n">
        <v>6</v>
      </c>
      <c r="I3" s="7" t="n">
        <v>7</v>
      </c>
      <c r="J3" s="7" t="n">
        <v>8</v>
      </c>
      <c r="K3" s="7" t="n">
        <v>9</v>
      </c>
      <c r="L3" s="7" t="n">
        <v>10</v>
      </c>
      <c r="M3" s="7" t="n">
        <v>11</v>
      </c>
      <c r="N3" s="7" t="n">
        <v>12</v>
      </c>
      <c r="O3" s="7" t="n">
        <v>13</v>
      </c>
      <c r="P3" s="7" t="n">
        <v>14</v>
      </c>
      <c r="Q3" s="7" t="n">
        <v>15</v>
      </c>
      <c r="R3" s="7" t="n">
        <v>16</v>
      </c>
      <c r="S3" s="7" t="n">
        <v>17</v>
      </c>
      <c r="T3" s="7" t="n">
        <v>18</v>
      </c>
      <c r="U3" s="7" t="n">
        <v>19</v>
      </c>
      <c r="V3" s="7" t="n">
        <v>20</v>
      </c>
      <c r="W3" s="7" t="n">
        <v>21</v>
      </c>
      <c r="X3" s="7" t="n">
        <v>22</v>
      </c>
      <c r="Y3" s="7" t="n">
        <v>23</v>
      </c>
      <c r="Z3" s="7" t="n">
        <v>24</v>
      </c>
      <c r="AA3" s="7" t="n">
        <v>25</v>
      </c>
      <c r="AB3" s="7" t="n">
        <v>26</v>
      </c>
      <c r="AC3" s="7" t="n">
        <v>27</v>
      </c>
      <c r="AD3" s="7" t="n">
        <v>28</v>
      </c>
      <c r="AE3" s="7" t="n">
        <v>29</v>
      </c>
      <c r="AF3" s="7" t="n">
        <v>30</v>
      </c>
      <c r="AG3" s="7" t="n">
        <v>31</v>
      </c>
      <c r="AH3" s="7" t="n">
        <v>32</v>
      </c>
      <c r="AI3" s="7" t="n">
        <v>33</v>
      </c>
      <c r="AJ3" s="7" t="n">
        <v>34</v>
      </c>
      <c r="AK3" s="7" t="n">
        <v>35</v>
      </c>
      <c r="AL3" s="7" t="n">
        <v>36</v>
      </c>
      <c r="AM3" s="7" t="n">
        <v>37</v>
      </c>
      <c r="AN3" s="7" t="n">
        <v>38</v>
      </c>
      <c r="AO3" s="7" t="n">
        <v>39</v>
      </c>
      <c r="AP3" s="7" t="n">
        <v>40</v>
      </c>
      <c r="AQ3" s="7" t="n">
        <v>41</v>
      </c>
      <c r="AR3" s="7" t="n">
        <v>42</v>
      </c>
      <c r="AS3" s="7" t="n">
        <v>43</v>
      </c>
      <c r="AT3" s="7" t="n">
        <v>44</v>
      </c>
      <c r="AU3" s="7" t="n">
        <v>45</v>
      </c>
      <c r="AV3" s="7" t="n">
        <v>46</v>
      </c>
      <c r="AW3" s="7" t="n">
        <v>47</v>
      </c>
      <c r="AX3" s="7" t="n">
        <v>48</v>
      </c>
      <c r="AY3" s="7" t="n">
        <v>49</v>
      </c>
      <c r="AZ3" s="7" t="n">
        <v>50</v>
      </c>
      <c r="BA3" s="7" t="n">
        <v>51</v>
      </c>
      <c r="BB3" s="7" t="n">
        <v>52</v>
      </c>
      <c r="BC3" s="7" t="n">
        <v>53</v>
      </c>
      <c r="BD3" s="7" t="n">
        <v>54</v>
      </c>
      <c r="BE3" s="7" t="n">
        <v>55</v>
      </c>
      <c r="BF3" s="7" t="n">
        <v>56</v>
      </c>
      <c r="BG3" s="7" t="n">
        <v>57</v>
      </c>
      <c r="BH3" s="7" t="n">
        <v>58</v>
      </c>
      <c r="BI3" s="7" t="n">
        <v>59</v>
      </c>
      <c r="BJ3" s="7" t="n">
        <v>60</v>
      </c>
    </row>
    <row r="4">
      <c r="A4" t="inlineStr">
        <is>
          <t>Year</t>
        </is>
      </c>
      <c r="C4" s="7">
        <f>INT((C3-1)/12)+1</f>
        <v/>
      </c>
      <c r="D4" s="7">
        <f>INT((D3-1)/12)+1</f>
        <v/>
      </c>
      <c r="E4" s="7">
        <f>INT((E3-1)/12)+1</f>
        <v/>
      </c>
      <c r="F4" s="7">
        <f>INT((F3-1)/12)+1</f>
        <v/>
      </c>
      <c r="G4" s="7">
        <f>INT((G3-1)/12)+1</f>
        <v/>
      </c>
      <c r="H4" s="7">
        <f>INT((H3-1)/12)+1</f>
        <v/>
      </c>
      <c r="I4" s="7">
        <f>INT((I3-1)/12)+1</f>
        <v/>
      </c>
      <c r="J4" s="7">
        <f>INT((J3-1)/12)+1</f>
        <v/>
      </c>
      <c r="K4" s="7">
        <f>INT((K3-1)/12)+1</f>
        <v/>
      </c>
      <c r="L4" s="7">
        <f>INT((L3-1)/12)+1</f>
        <v/>
      </c>
      <c r="M4" s="7">
        <f>INT((M3-1)/12)+1</f>
        <v/>
      </c>
      <c r="N4" s="7">
        <f>INT((N3-1)/12)+1</f>
        <v/>
      </c>
      <c r="O4" s="7">
        <f>INT((O3-1)/12)+1</f>
        <v/>
      </c>
      <c r="P4" s="7">
        <f>INT((P3-1)/12)+1</f>
        <v/>
      </c>
      <c r="Q4" s="7">
        <f>INT((Q3-1)/12)+1</f>
        <v/>
      </c>
      <c r="R4" s="7">
        <f>INT((R3-1)/12)+1</f>
        <v/>
      </c>
      <c r="S4" s="7">
        <f>INT((S3-1)/12)+1</f>
        <v/>
      </c>
      <c r="T4" s="7">
        <f>INT((T3-1)/12)+1</f>
        <v/>
      </c>
      <c r="U4" s="7">
        <f>INT((U3-1)/12)+1</f>
        <v/>
      </c>
      <c r="V4" s="7">
        <f>INT((V3-1)/12)+1</f>
        <v/>
      </c>
      <c r="W4" s="7">
        <f>INT((W3-1)/12)+1</f>
        <v/>
      </c>
      <c r="X4" s="7">
        <f>INT((X3-1)/12)+1</f>
        <v/>
      </c>
      <c r="Y4" s="7">
        <f>INT((Y3-1)/12)+1</f>
        <v/>
      </c>
      <c r="Z4" s="7">
        <f>INT((Z3-1)/12)+1</f>
        <v/>
      </c>
      <c r="AA4" s="7">
        <f>INT((AA3-1)/12)+1</f>
        <v/>
      </c>
      <c r="AB4" s="7">
        <f>INT((AB3-1)/12)+1</f>
        <v/>
      </c>
      <c r="AC4" s="7">
        <f>INT((AC3-1)/12)+1</f>
        <v/>
      </c>
      <c r="AD4" s="7">
        <f>INT((AD3-1)/12)+1</f>
        <v/>
      </c>
      <c r="AE4" s="7">
        <f>INT((AE3-1)/12)+1</f>
        <v/>
      </c>
      <c r="AF4" s="7">
        <f>INT((AF3-1)/12)+1</f>
        <v/>
      </c>
      <c r="AG4" s="7">
        <f>INT((AG3-1)/12)+1</f>
        <v/>
      </c>
      <c r="AH4" s="7">
        <f>INT((AH3-1)/12)+1</f>
        <v/>
      </c>
      <c r="AI4" s="7">
        <f>INT((AI3-1)/12)+1</f>
        <v/>
      </c>
      <c r="AJ4" s="7">
        <f>INT((AJ3-1)/12)+1</f>
        <v/>
      </c>
      <c r="AK4" s="7">
        <f>INT((AK3-1)/12)+1</f>
        <v/>
      </c>
      <c r="AL4" s="7">
        <f>INT((AL3-1)/12)+1</f>
        <v/>
      </c>
      <c r="AM4" s="7">
        <f>INT((AM3-1)/12)+1</f>
        <v/>
      </c>
      <c r="AN4" s="7">
        <f>INT((AN3-1)/12)+1</f>
        <v/>
      </c>
      <c r="AO4" s="7">
        <f>INT((AO3-1)/12)+1</f>
        <v/>
      </c>
      <c r="AP4" s="7">
        <f>INT((AP3-1)/12)+1</f>
        <v/>
      </c>
      <c r="AQ4" s="7">
        <f>INT((AQ3-1)/12)+1</f>
        <v/>
      </c>
      <c r="AR4" s="7">
        <f>INT((AR3-1)/12)+1</f>
        <v/>
      </c>
      <c r="AS4" s="7">
        <f>INT((AS3-1)/12)+1</f>
        <v/>
      </c>
      <c r="AT4" s="7">
        <f>INT((AT3-1)/12)+1</f>
        <v/>
      </c>
      <c r="AU4" s="7">
        <f>INT((AU3-1)/12)+1</f>
        <v/>
      </c>
      <c r="AV4" s="7">
        <f>INT((AV3-1)/12)+1</f>
        <v/>
      </c>
      <c r="AW4" s="7">
        <f>INT((AW3-1)/12)+1</f>
        <v/>
      </c>
      <c r="AX4" s="7">
        <f>INT((AX3-1)/12)+1</f>
        <v/>
      </c>
      <c r="AY4" s="7">
        <f>INT((AY3-1)/12)+1</f>
        <v/>
      </c>
      <c r="AZ4" s="7">
        <f>INT((AZ3-1)/12)+1</f>
        <v/>
      </c>
      <c r="BA4" s="7">
        <f>INT((BA3-1)/12)+1</f>
        <v/>
      </c>
      <c r="BB4" s="7">
        <f>INT((BB3-1)/12)+1</f>
        <v/>
      </c>
      <c r="BC4" s="7">
        <f>INT((BC3-1)/12)+1</f>
        <v/>
      </c>
      <c r="BD4" s="7">
        <f>INT((BD3-1)/12)+1</f>
        <v/>
      </c>
      <c r="BE4" s="7">
        <f>INT((BE3-1)/12)+1</f>
        <v/>
      </c>
      <c r="BF4" s="7">
        <f>INT((BF3-1)/12)+1</f>
        <v/>
      </c>
      <c r="BG4" s="7">
        <f>INT((BG3-1)/12)+1</f>
        <v/>
      </c>
      <c r="BH4" s="7">
        <f>INT((BH3-1)/12)+1</f>
        <v/>
      </c>
      <c r="BI4" s="7">
        <f>INT((BI3-1)/12)+1</f>
        <v/>
      </c>
      <c r="BJ4" s="7">
        <f>INT((BJ3-1)/12)+1</f>
        <v/>
      </c>
    </row>
    <row r="5">
      <c r="A5" t="inlineStr">
        <is>
          <t>Calendar month (1-12)</t>
        </is>
      </c>
      <c r="C5" s="7">
        <f>MOD(Inputs!$E$8-1+C3-1,12)+1</f>
        <v/>
      </c>
      <c r="D5" s="7">
        <f>MOD(Inputs!$E$8-1+D3-1,12)+1</f>
        <v/>
      </c>
      <c r="E5" s="7">
        <f>MOD(Inputs!$E$8-1+E3-1,12)+1</f>
        <v/>
      </c>
      <c r="F5" s="7">
        <f>MOD(Inputs!$E$8-1+F3-1,12)+1</f>
        <v/>
      </c>
      <c r="G5" s="7">
        <f>MOD(Inputs!$E$8-1+G3-1,12)+1</f>
        <v/>
      </c>
      <c r="H5" s="7">
        <f>MOD(Inputs!$E$8-1+H3-1,12)+1</f>
        <v/>
      </c>
      <c r="I5" s="7">
        <f>MOD(Inputs!$E$8-1+I3-1,12)+1</f>
        <v/>
      </c>
      <c r="J5" s="7">
        <f>MOD(Inputs!$E$8-1+J3-1,12)+1</f>
        <v/>
      </c>
      <c r="K5" s="7">
        <f>MOD(Inputs!$E$8-1+K3-1,12)+1</f>
        <v/>
      </c>
      <c r="L5" s="7">
        <f>MOD(Inputs!$E$8-1+L3-1,12)+1</f>
        <v/>
      </c>
      <c r="M5" s="7">
        <f>MOD(Inputs!$E$8-1+M3-1,12)+1</f>
        <v/>
      </c>
      <c r="N5" s="7">
        <f>MOD(Inputs!$E$8-1+N3-1,12)+1</f>
        <v/>
      </c>
      <c r="O5" s="7">
        <f>MOD(Inputs!$E$8-1+O3-1,12)+1</f>
        <v/>
      </c>
      <c r="P5" s="7">
        <f>MOD(Inputs!$E$8-1+P3-1,12)+1</f>
        <v/>
      </c>
      <c r="Q5" s="7">
        <f>MOD(Inputs!$E$8-1+Q3-1,12)+1</f>
        <v/>
      </c>
      <c r="R5" s="7">
        <f>MOD(Inputs!$E$8-1+R3-1,12)+1</f>
        <v/>
      </c>
      <c r="S5" s="7">
        <f>MOD(Inputs!$E$8-1+S3-1,12)+1</f>
        <v/>
      </c>
      <c r="T5" s="7">
        <f>MOD(Inputs!$E$8-1+T3-1,12)+1</f>
        <v/>
      </c>
      <c r="U5" s="7">
        <f>MOD(Inputs!$E$8-1+U3-1,12)+1</f>
        <v/>
      </c>
      <c r="V5" s="7">
        <f>MOD(Inputs!$E$8-1+V3-1,12)+1</f>
        <v/>
      </c>
      <c r="W5" s="7">
        <f>MOD(Inputs!$E$8-1+W3-1,12)+1</f>
        <v/>
      </c>
      <c r="X5" s="7">
        <f>MOD(Inputs!$E$8-1+X3-1,12)+1</f>
        <v/>
      </c>
      <c r="Y5" s="7">
        <f>MOD(Inputs!$E$8-1+Y3-1,12)+1</f>
        <v/>
      </c>
      <c r="Z5" s="7">
        <f>MOD(Inputs!$E$8-1+Z3-1,12)+1</f>
        <v/>
      </c>
      <c r="AA5" s="7">
        <f>MOD(Inputs!$E$8-1+AA3-1,12)+1</f>
        <v/>
      </c>
      <c r="AB5" s="7">
        <f>MOD(Inputs!$E$8-1+AB3-1,12)+1</f>
        <v/>
      </c>
      <c r="AC5" s="7">
        <f>MOD(Inputs!$E$8-1+AC3-1,12)+1</f>
        <v/>
      </c>
      <c r="AD5" s="7">
        <f>MOD(Inputs!$E$8-1+AD3-1,12)+1</f>
        <v/>
      </c>
      <c r="AE5" s="7">
        <f>MOD(Inputs!$E$8-1+AE3-1,12)+1</f>
        <v/>
      </c>
      <c r="AF5" s="7">
        <f>MOD(Inputs!$E$8-1+AF3-1,12)+1</f>
        <v/>
      </c>
      <c r="AG5" s="7">
        <f>MOD(Inputs!$E$8-1+AG3-1,12)+1</f>
        <v/>
      </c>
      <c r="AH5" s="7">
        <f>MOD(Inputs!$E$8-1+AH3-1,12)+1</f>
        <v/>
      </c>
      <c r="AI5" s="7">
        <f>MOD(Inputs!$E$8-1+AI3-1,12)+1</f>
        <v/>
      </c>
      <c r="AJ5" s="7">
        <f>MOD(Inputs!$E$8-1+AJ3-1,12)+1</f>
        <v/>
      </c>
      <c r="AK5" s="7">
        <f>MOD(Inputs!$E$8-1+AK3-1,12)+1</f>
        <v/>
      </c>
      <c r="AL5" s="7">
        <f>MOD(Inputs!$E$8-1+AL3-1,12)+1</f>
        <v/>
      </c>
      <c r="AM5" s="7">
        <f>MOD(Inputs!$E$8-1+AM3-1,12)+1</f>
        <v/>
      </c>
      <c r="AN5" s="7">
        <f>MOD(Inputs!$E$8-1+AN3-1,12)+1</f>
        <v/>
      </c>
      <c r="AO5" s="7">
        <f>MOD(Inputs!$E$8-1+AO3-1,12)+1</f>
        <v/>
      </c>
      <c r="AP5" s="7">
        <f>MOD(Inputs!$E$8-1+AP3-1,12)+1</f>
        <v/>
      </c>
      <c r="AQ5" s="7">
        <f>MOD(Inputs!$E$8-1+AQ3-1,12)+1</f>
        <v/>
      </c>
      <c r="AR5" s="7">
        <f>MOD(Inputs!$E$8-1+AR3-1,12)+1</f>
        <v/>
      </c>
      <c r="AS5" s="7">
        <f>MOD(Inputs!$E$8-1+AS3-1,12)+1</f>
        <v/>
      </c>
      <c r="AT5" s="7">
        <f>MOD(Inputs!$E$8-1+AT3-1,12)+1</f>
        <v/>
      </c>
      <c r="AU5" s="7">
        <f>MOD(Inputs!$E$8-1+AU3-1,12)+1</f>
        <v/>
      </c>
      <c r="AV5" s="7">
        <f>MOD(Inputs!$E$8-1+AV3-1,12)+1</f>
        <v/>
      </c>
      <c r="AW5" s="7">
        <f>MOD(Inputs!$E$8-1+AW3-1,12)+1</f>
        <v/>
      </c>
      <c r="AX5" s="7">
        <f>MOD(Inputs!$E$8-1+AX3-1,12)+1</f>
        <v/>
      </c>
      <c r="AY5" s="7">
        <f>MOD(Inputs!$E$8-1+AY3-1,12)+1</f>
        <v/>
      </c>
      <c r="AZ5" s="7">
        <f>MOD(Inputs!$E$8-1+AZ3-1,12)+1</f>
        <v/>
      </c>
      <c r="BA5" s="7">
        <f>MOD(Inputs!$E$8-1+BA3-1,12)+1</f>
        <v/>
      </c>
      <c r="BB5" s="7">
        <f>MOD(Inputs!$E$8-1+BB3-1,12)+1</f>
        <v/>
      </c>
      <c r="BC5" s="7">
        <f>MOD(Inputs!$E$8-1+BC3-1,12)+1</f>
        <v/>
      </c>
      <c r="BD5" s="7">
        <f>MOD(Inputs!$E$8-1+BD3-1,12)+1</f>
        <v/>
      </c>
      <c r="BE5" s="7">
        <f>MOD(Inputs!$E$8-1+BE3-1,12)+1</f>
        <v/>
      </c>
      <c r="BF5" s="7">
        <f>MOD(Inputs!$E$8-1+BF3-1,12)+1</f>
        <v/>
      </c>
      <c r="BG5" s="7">
        <f>MOD(Inputs!$E$8-1+BG3-1,12)+1</f>
        <v/>
      </c>
      <c r="BH5" s="7">
        <f>MOD(Inputs!$E$8-1+BH3-1,12)+1</f>
        <v/>
      </c>
      <c r="BI5" s="7">
        <f>MOD(Inputs!$E$8-1+BI3-1,12)+1</f>
        <v/>
      </c>
      <c r="BJ5" s="7">
        <f>MOD(Inputs!$E$8-1+BJ3-1,12)+1</f>
        <v/>
      </c>
    </row>
    <row r="6">
      <c r="A6" t="inlineStr">
        <is>
          <t>Trading days</t>
        </is>
      </c>
      <c r="C6" s="24">
        <f>CHOOSE(C5,31,28,31,30,31,30,31,31,30,31,30,31)*Inputs!$E$9/365</f>
        <v/>
      </c>
      <c r="D6" s="24">
        <f>CHOOSE(D5,31,28,31,30,31,30,31,31,30,31,30,31)*Inputs!$E$9/365</f>
        <v/>
      </c>
      <c r="E6" s="24">
        <f>CHOOSE(E5,31,28,31,30,31,30,31,31,30,31,30,31)*Inputs!$E$9/365</f>
        <v/>
      </c>
      <c r="F6" s="24">
        <f>CHOOSE(F5,31,28,31,30,31,30,31,31,30,31,30,31)*Inputs!$E$9/365</f>
        <v/>
      </c>
      <c r="G6" s="24">
        <f>CHOOSE(G5,31,28,31,30,31,30,31,31,30,31,30,31)*Inputs!$E$9/365</f>
        <v/>
      </c>
      <c r="H6" s="24">
        <f>CHOOSE(H5,31,28,31,30,31,30,31,31,30,31,30,31)*Inputs!$E$9/365</f>
        <v/>
      </c>
      <c r="I6" s="24">
        <f>CHOOSE(I5,31,28,31,30,31,30,31,31,30,31,30,31)*Inputs!$E$9/365</f>
        <v/>
      </c>
      <c r="J6" s="24">
        <f>CHOOSE(J5,31,28,31,30,31,30,31,31,30,31,30,31)*Inputs!$E$9/365</f>
        <v/>
      </c>
      <c r="K6" s="24">
        <f>CHOOSE(K5,31,28,31,30,31,30,31,31,30,31,30,31)*Inputs!$E$9/365</f>
        <v/>
      </c>
      <c r="L6" s="24">
        <f>CHOOSE(L5,31,28,31,30,31,30,31,31,30,31,30,31)*Inputs!$E$9/365</f>
        <v/>
      </c>
      <c r="M6" s="24">
        <f>CHOOSE(M5,31,28,31,30,31,30,31,31,30,31,30,31)*Inputs!$E$9/365</f>
        <v/>
      </c>
      <c r="N6" s="24">
        <f>CHOOSE(N5,31,28,31,30,31,30,31,31,30,31,30,31)*Inputs!$E$9/365</f>
        <v/>
      </c>
      <c r="O6" s="24">
        <f>CHOOSE(O5,31,28,31,30,31,30,31,31,30,31,30,31)*Inputs!$E$9/365</f>
        <v/>
      </c>
      <c r="P6" s="24">
        <f>CHOOSE(P5,31,28,31,30,31,30,31,31,30,31,30,31)*Inputs!$E$9/365</f>
        <v/>
      </c>
      <c r="Q6" s="24">
        <f>CHOOSE(Q5,31,28,31,30,31,30,31,31,30,31,30,31)*Inputs!$E$9/365</f>
        <v/>
      </c>
      <c r="R6" s="24">
        <f>CHOOSE(R5,31,28,31,30,31,30,31,31,30,31,30,31)*Inputs!$E$9/365</f>
        <v/>
      </c>
      <c r="S6" s="24">
        <f>CHOOSE(S5,31,28,31,30,31,30,31,31,30,31,30,31)*Inputs!$E$9/365</f>
        <v/>
      </c>
      <c r="T6" s="24">
        <f>CHOOSE(T5,31,28,31,30,31,30,31,31,30,31,30,31)*Inputs!$E$9/365</f>
        <v/>
      </c>
      <c r="U6" s="24">
        <f>CHOOSE(U5,31,28,31,30,31,30,31,31,30,31,30,31)*Inputs!$E$9/365</f>
        <v/>
      </c>
      <c r="V6" s="24">
        <f>CHOOSE(V5,31,28,31,30,31,30,31,31,30,31,30,31)*Inputs!$E$9/365</f>
        <v/>
      </c>
      <c r="W6" s="24">
        <f>CHOOSE(W5,31,28,31,30,31,30,31,31,30,31,30,31)*Inputs!$E$9/365</f>
        <v/>
      </c>
      <c r="X6" s="24">
        <f>CHOOSE(X5,31,28,31,30,31,30,31,31,30,31,30,31)*Inputs!$E$9/365</f>
        <v/>
      </c>
      <c r="Y6" s="24">
        <f>CHOOSE(Y5,31,28,31,30,31,30,31,31,30,31,30,31)*Inputs!$E$9/365</f>
        <v/>
      </c>
      <c r="Z6" s="24">
        <f>CHOOSE(Z5,31,28,31,30,31,30,31,31,30,31,30,31)*Inputs!$E$9/365</f>
        <v/>
      </c>
      <c r="AA6" s="24">
        <f>CHOOSE(AA5,31,28,31,30,31,30,31,31,30,31,30,31)*Inputs!$E$9/365</f>
        <v/>
      </c>
      <c r="AB6" s="24">
        <f>CHOOSE(AB5,31,28,31,30,31,30,31,31,30,31,30,31)*Inputs!$E$9/365</f>
        <v/>
      </c>
      <c r="AC6" s="24">
        <f>CHOOSE(AC5,31,28,31,30,31,30,31,31,30,31,30,31)*Inputs!$E$9/365</f>
        <v/>
      </c>
      <c r="AD6" s="24">
        <f>CHOOSE(AD5,31,28,31,30,31,30,31,31,30,31,30,31)*Inputs!$E$9/365</f>
        <v/>
      </c>
      <c r="AE6" s="24">
        <f>CHOOSE(AE5,31,28,31,30,31,30,31,31,30,31,30,31)*Inputs!$E$9/365</f>
        <v/>
      </c>
      <c r="AF6" s="24">
        <f>CHOOSE(AF5,31,28,31,30,31,30,31,31,30,31,30,31)*Inputs!$E$9/365</f>
        <v/>
      </c>
      <c r="AG6" s="24">
        <f>CHOOSE(AG5,31,28,31,30,31,30,31,31,30,31,30,31)*Inputs!$E$9/365</f>
        <v/>
      </c>
      <c r="AH6" s="24">
        <f>CHOOSE(AH5,31,28,31,30,31,30,31,31,30,31,30,31)*Inputs!$E$9/365</f>
        <v/>
      </c>
      <c r="AI6" s="24">
        <f>CHOOSE(AI5,31,28,31,30,31,30,31,31,30,31,30,31)*Inputs!$E$9/365</f>
        <v/>
      </c>
      <c r="AJ6" s="24">
        <f>CHOOSE(AJ5,31,28,31,30,31,30,31,31,30,31,30,31)*Inputs!$E$9/365</f>
        <v/>
      </c>
      <c r="AK6" s="24">
        <f>CHOOSE(AK5,31,28,31,30,31,30,31,31,30,31,30,31)*Inputs!$E$9/365</f>
        <v/>
      </c>
      <c r="AL6" s="24">
        <f>CHOOSE(AL5,31,28,31,30,31,30,31,31,30,31,30,31)*Inputs!$E$9/365</f>
        <v/>
      </c>
      <c r="AM6" s="24">
        <f>CHOOSE(AM5,31,28,31,30,31,30,31,31,30,31,30,31)*Inputs!$E$9/365</f>
        <v/>
      </c>
      <c r="AN6" s="24">
        <f>CHOOSE(AN5,31,28,31,30,31,30,31,31,30,31,30,31)*Inputs!$E$9/365</f>
        <v/>
      </c>
      <c r="AO6" s="24">
        <f>CHOOSE(AO5,31,28,31,30,31,30,31,31,30,31,30,31)*Inputs!$E$9/365</f>
        <v/>
      </c>
      <c r="AP6" s="24">
        <f>CHOOSE(AP5,31,28,31,30,31,30,31,31,30,31,30,31)*Inputs!$E$9/365</f>
        <v/>
      </c>
      <c r="AQ6" s="24">
        <f>CHOOSE(AQ5,31,28,31,30,31,30,31,31,30,31,30,31)*Inputs!$E$9/365</f>
        <v/>
      </c>
      <c r="AR6" s="24">
        <f>CHOOSE(AR5,31,28,31,30,31,30,31,31,30,31,30,31)*Inputs!$E$9/365</f>
        <v/>
      </c>
      <c r="AS6" s="24">
        <f>CHOOSE(AS5,31,28,31,30,31,30,31,31,30,31,30,31)*Inputs!$E$9/365</f>
        <v/>
      </c>
      <c r="AT6" s="24">
        <f>CHOOSE(AT5,31,28,31,30,31,30,31,31,30,31,30,31)*Inputs!$E$9/365</f>
        <v/>
      </c>
      <c r="AU6" s="24">
        <f>CHOOSE(AU5,31,28,31,30,31,30,31,31,30,31,30,31)*Inputs!$E$9/365</f>
        <v/>
      </c>
      <c r="AV6" s="24">
        <f>CHOOSE(AV5,31,28,31,30,31,30,31,31,30,31,30,31)*Inputs!$E$9/365</f>
        <v/>
      </c>
      <c r="AW6" s="24">
        <f>CHOOSE(AW5,31,28,31,30,31,30,31,31,30,31,30,31)*Inputs!$E$9/365</f>
        <v/>
      </c>
      <c r="AX6" s="24">
        <f>CHOOSE(AX5,31,28,31,30,31,30,31,31,30,31,30,31)*Inputs!$E$9/365</f>
        <v/>
      </c>
      <c r="AY6" s="24">
        <f>CHOOSE(AY5,31,28,31,30,31,30,31,31,30,31,30,31)*Inputs!$E$9/365</f>
        <v/>
      </c>
      <c r="AZ6" s="24">
        <f>CHOOSE(AZ5,31,28,31,30,31,30,31,31,30,31,30,31)*Inputs!$E$9/365</f>
        <v/>
      </c>
      <c r="BA6" s="24">
        <f>CHOOSE(BA5,31,28,31,30,31,30,31,31,30,31,30,31)*Inputs!$E$9/365</f>
        <v/>
      </c>
      <c r="BB6" s="24">
        <f>CHOOSE(BB5,31,28,31,30,31,30,31,31,30,31,30,31)*Inputs!$E$9/365</f>
        <v/>
      </c>
      <c r="BC6" s="24">
        <f>CHOOSE(BC5,31,28,31,30,31,30,31,31,30,31,30,31)*Inputs!$E$9/365</f>
        <v/>
      </c>
      <c r="BD6" s="24">
        <f>CHOOSE(BD5,31,28,31,30,31,30,31,31,30,31,30,31)*Inputs!$E$9/365</f>
        <v/>
      </c>
      <c r="BE6" s="24">
        <f>CHOOSE(BE5,31,28,31,30,31,30,31,31,30,31,30,31)*Inputs!$E$9/365</f>
        <v/>
      </c>
      <c r="BF6" s="24">
        <f>CHOOSE(BF5,31,28,31,30,31,30,31,31,30,31,30,31)*Inputs!$E$9/365</f>
        <v/>
      </c>
      <c r="BG6" s="24">
        <f>CHOOSE(BG5,31,28,31,30,31,30,31,31,30,31,30,31)*Inputs!$E$9/365</f>
        <v/>
      </c>
      <c r="BH6" s="24">
        <f>CHOOSE(BH5,31,28,31,30,31,30,31,31,30,31,30,31)*Inputs!$E$9/365</f>
        <v/>
      </c>
      <c r="BI6" s="24">
        <f>CHOOSE(BI5,31,28,31,30,31,30,31,31,30,31,30,31)*Inputs!$E$9/365</f>
        <v/>
      </c>
      <c r="BJ6" s="24">
        <f>CHOOSE(BJ5,31,28,31,30,31,30,31,31,30,31,30,31)*Inputs!$E$9/365</f>
        <v/>
      </c>
    </row>
    <row r="7">
      <c r="A7" t="inlineStr">
        <is>
          <t>Seasonality index</t>
        </is>
      </c>
      <c r="C7" s="24">
        <f>INDEX(Inputs!$E$27:$E$38,C5)</f>
        <v/>
      </c>
      <c r="D7" s="24">
        <f>INDEX(Inputs!$E$27:$E$38,D5)</f>
        <v/>
      </c>
      <c r="E7" s="24">
        <f>INDEX(Inputs!$E$27:$E$38,E5)</f>
        <v/>
      </c>
      <c r="F7" s="24">
        <f>INDEX(Inputs!$E$27:$E$38,F5)</f>
        <v/>
      </c>
      <c r="G7" s="24">
        <f>INDEX(Inputs!$E$27:$E$38,G5)</f>
        <v/>
      </c>
      <c r="H7" s="24">
        <f>INDEX(Inputs!$E$27:$E$38,H5)</f>
        <v/>
      </c>
      <c r="I7" s="24">
        <f>INDEX(Inputs!$E$27:$E$38,I5)</f>
        <v/>
      </c>
      <c r="J7" s="24">
        <f>INDEX(Inputs!$E$27:$E$38,J5)</f>
        <v/>
      </c>
      <c r="K7" s="24">
        <f>INDEX(Inputs!$E$27:$E$38,K5)</f>
        <v/>
      </c>
      <c r="L7" s="24">
        <f>INDEX(Inputs!$E$27:$E$38,L5)</f>
        <v/>
      </c>
      <c r="M7" s="24">
        <f>INDEX(Inputs!$E$27:$E$38,M5)</f>
        <v/>
      </c>
      <c r="N7" s="24">
        <f>INDEX(Inputs!$E$27:$E$38,N5)</f>
        <v/>
      </c>
      <c r="O7" s="24">
        <f>INDEX(Inputs!$E$27:$E$38,O5)</f>
        <v/>
      </c>
      <c r="P7" s="24">
        <f>INDEX(Inputs!$E$27:$E$38,P5)</f>
        <v/>
      </c>
      <c r="Q7" s="24">
        <f>INDEX(Inputs!$E$27:$E$38,Q5)</f>
        <v/>
      </c>
      <c r="R7" s="24">
        <f>INDEX(Inputs!$E$27:$E$38,R5)</f>
        <v/>
      </c>
      <c r="S7" s="24">
        <f>INDEX(Inputs!$E$27:$E$38,S5)</f>
        <v/>
      </c>
      <c r="T7" s="24">
        <f>INDEX(Inputs!$E$27:$E$38,T5)</f>
        <v/>
      </c>
      <c r="U7" s="24">
        <f>INDEX(Inputs!$E$27:$E$38,U5)</f>
        <v/>
      </c>
      <c r="V7" s="24">
        <f>INDEX(Inputs!$E$27:$E$38,V5)</f>
        <v/>
      </c>
      <c r="W7" s="24">
        <f>INDEX(Inputs!$E$27:$E$38,W5)</f>
        <v/>
      </c>
      <c r="X7" s="24">
        <f>INDEX(Inputs!$E$27:$E$38,X5)</f>
        <v/>
      </c>
      <c r="Y7" s="24">
        <f>INDEX(Inputs!$E$27:$E$38,Y5)</f>
        <v/>
      </c>
      <c r="Z7" s="24">
        <f>INDEX(Inputs!$E$27:$E$38,Z5)</f>
        <v/>
      </c>
      <c r="AA7" s="24">
        <f>INDEX(Inputs!$E$27:$E$38,AA5)</f>
        <v/>
      </c>
      <c r="AB7" s="24">
        <f>INDEX(Inputs!$E$27:$E$38,AB5)</f>
        <v/>
      </c>
      <c r="AC7" s="24">
        <f>INDEX(Inputs!$E$27:$E$38,AC5)</f>
        <v/>
      </c>
      <c r="AD7" s="24">
        <f>INDEX(Inputs!$E$27:$E$38,AD5)</f>
        <v/>
      </c>
      <c r="AE7" s="24">
        <f>INDEX(Inputs!$E$27:$E$38,AE5)</f>
        <v/>
      </c>
      <c r="AF7" s="24">
        <f>INDEX(Inputs!$E$27:$E$38,AF5)</f>
        <v/>
      </c>
      <c r="AG7" s="24">
        <f>INDEX(Inputs!$E$27:$E$38,AG5)</f>
        <v/>
      </c>
      <c r="AH7" s="24">
        <f>INDEX(Inputs!$E$27:$E$38,AH5)</f>
        <v/>
      </c>
      <c r="AI7" s="24">
        <f>INDEX(Inputs!$E$27:$E$38,AI5)</f>
        <v/>
      </c>
      <c r="AJ7" s="24">
        <f>INDEX(Inputs!$E$27:$E$38,AJ5)</f>
        <v/>
      </c>
      <c r="AK7" s="24">
        <f>INDEX(Inputs!$E$27:$E$38,AK5)</f>
        <v/>
      </c>
      <c r="AL7" s="24">
        <f>INDEX(Inputs!$E$27:$E$38,AL5)</f>
        <v/>
      </c>
      <c r="AM7" s="24">
        <f>INDEX(Inputs!$E$27:$E$38,AM5)</f>
        <v/>
      </c>
      <c r="AN7" s="24">
        <f>INDEX(Inputs!$E$27:$E$38,AN5)</f>
        <v/>
      </c>
      <c r="AO7" s="24">
        <f>INDEX(Inputs!$E$27:$E$38,AO5)</f>
        <v/>
      </c>
      <c r="AP7" s="24">
        <f>INDEX(Inputs!$E$27:$E$38,AP5)</f>
        <v/>
      </c>
      <c r="AQ7" s="24">
        <f>INDEX(Inputs!$E$27:$E$38,AQ5)</f>
        <v/>
      </c>
      <c r="AR7" s="24">
        <f>INDEX(Inputs!$E$27:$E$38,AR5)</f>
        <v/>
      </c>
      <c r="AS7" s="24">
        <f>INDEX(Inputs!$E$27:$E$38,AS5)</f>
        <v/>
      </c>
      <c r="AT7" s="24">
        <f>INDEX(Inputs!$E$27:$E$38,AT5)</f>
        <v/>
      </c>
      <c r="AU7" s="24">
        <f>INDEX(Inputs!$E$27:$E$38,AU5)</f>
        <v/>
      </c>
      <c r="AV7" s="24">
        <f>INDEX(Inputs!$E$27:$E$38,AV5)</f>
        <v/>
      </c>
      <c r="AW7" s="24">
        <f>INDEX(Inputs!$E$27:$E$38,AW5)</f>
        <v/>
      </c>
      <c r="AX7" s="24">
        <f>INDEX(Inputs!$E$27:$E$38,AX5)</f>
        <v/>
      </c>
      <c r="AY7" s="24">
        <f>INDEX(Inputs!$E$27:$E$38,AY5)</f>
        <v/>
      </c>
      <c r="AZ7" s="24">
        <f>INDEX(Inputs!$E$27:$E$38,AZ5)</f>
        <v/>
      </c>
      <c r="BA7" s="24">
        <f>INDEX(Inputs!$E$27:$E$38,BA5)</f>
        <v/>
      </c>
      <c r="BB7" s="24">
        <f>INDEX(Inputs!$E$27:$E$38,BB5)</f>
        <v/>
      </c>
      <c r="BC7" s="24">
        <f>INDEX(Inputs!$E$27:$E$38,BC5)</f>
        <v/>
      </c>
      <c r="BD7" s="24">
        <f>INDEX(Inputs!$E$27:$E$38,BD5)</f>
        <v/>
      </c>
      <c r="BE7" s="24">
        <f>INDEX(Inputs!$E$27:$E$38,BE5)</f>
        <v/>
      </c>
      <c r="BF7" s="24">
        <f>INDEX(Inputs!$E$27:$E$38,BF5)</f>
        <v/>
      </c>
      <c r="BG7" s="24">
        <f>INDEX(Inputs!$E$27:$E$38,BG5)</f>
        <v/>
      </c>
      <c r="BH7" s="24">
        <f>INDEX(Inputs!$E$27:$E$38,BH5)</f>
        <v/>
      </c>
      <c r="BI7" s="24">
        <f>INDEX(Inputs!$E$27:$E$38,BI5)</f>
        <v/>
      </c>
      <c r="BJ7" s="24">
        <f>INDEX(Inputs!$E$27:$E$38,BJ5)</f>
        <v/>
      </c>
    </row>
    <row r="8">
      <c r="A8" t="inlineStr">
        <is>
          <t>Passing traffic (veh/day)</t>
        </is>
      </c>
      <c r="C8" s="3">
        <f>Inputs!$E$17*(1+Inputs!$E$18)^(C4-1)*C7</f>
        <v/>
      </c>
      <c r="D8" s="3">
        <f>Inputs!$E$17*(1+Inputs!$E$18)^(D4-1)*D7</f>
        <v/>
      </c>
      <c r="E8" s="3">
        <f>Inputs!$E$17*(1+Inputs!$E$18)^(E4-1)*E7</f>
        <v/>
      </c>
      <c r="F8" s="3">
        <f>Inputs!$E$17*(1+Inputs!$E$18)^(F4-1)*F7</f>
        <v/>
      </c>
      <c r="G8" s="3">
        <f>Inputs!$E$17*(1+Inputs!$E$18)^(G4-1)*G7</f>
        <v/>
      </c>
      <c r="H8" s="3">
        <f>Inputs!$E$17*(1+Inputs!$E$18)^(H4-1)*H7</f>
        <v/>
      </c>
      <c r="I8" s="3">
        <f>Inputs!$E$17*(1+Inputs!$E$18)^(I4-1)*I7</f>
        <v/>
      </c>
      <c r="J8" s="3">
        <f>Inputs!$E$17*(1+Inputs!$E$18)^(J4-1)*J7</f>
        <v/>
      </c>
      <c r="K8" s="3">
        <f>Inputs!$E$17*(1+Inputs!$E$18)^(K4-1)*K7</f>
        <v/>
      </c>
      <c r="L8" s="3">
        <f>Inputs!$E$17*(1+Inputs!$E$18)^(L4-1)*L7</f>
        <v/>
      </c>
      <c r="M8" s="3">
        <f>Inputs!$E$17*(1+Inputs!$E$18)^(M4-1)*M7</f>
        <v/>
      </c>
      <c r="N8" s="3">
        <f>Inputs!$E$17*(1+Inputs!$E$18)^(N4-1)*N7</f>
        <v/>
      </c>
      <c r="O8" s="3">
        <f>Inputs!$E$17*(1+Inputs!$E$18)^(O4-1)*O7</f>
        <v/>
      </c>
      <c r="P8" s="3">
        <f>Inputs!$E$17*(1+Inputs!$E$18)^(P4-1)*P7</f>
        <v/>
      </c>
      <c r="Q8" s="3">
        <f>Inputs!$E$17*(1+Inputs!$E$18)^(Q4-1)*Q7</f>
        <v/>
      </c>
      <c r="R8" s="3">
        <f>Inputs!$E$17*(1+Inputs!$E$18)^(R4-1)*R7</f>
        <v/>
      </c>
      <c r="S8" s="3">
        <f>Inputs!$E$17*(1+Inputs!$E$18)^(S4-1)*S7</f>
        <v/>
      </c>
      <c r="T8" s="3">
        <f>Inputs!$E$17*(1+Inputs!$E$18)^(T4-1)*T7</f>
        <v/>
      </c>
      <c r="U8" s="3">
        <f>Inputs!$E$17*(1+Inputs!$E$18)^(U4-1)*U7</f>
        <v/>
      </c>
      <c r="V8" s="3">
        <f>Inputs!$E$17*(1+Inputs!$E$18)^(V4-1)*V7</f>
        <v/>
      </c>
      <c r="W8" s="3">
        <f>Inputs!$E$17*(1+Inputs!$E$18)^(W4-1)*W7</f>
        <v/>
      </c>
      <c r="X8" s="3">
        <f>Inputs!$E$17*(1+Inputs!$E$18)^(X4-1)*X7</f>
        <v/>
      </c>
      <c r="Y8" s="3">
        <f>Inputs!$E$17*(1+Inputs!$E$18)^(Y4-1)*Y7</f>
        <v/>
      </c>
      <c r="Z8" s="3">
        <f>Inputs!$E$17*(1+Inputs!$E$18)^(Z4-1)*Z7</f>
        <v/>
      </c>
      <c r="AA8" s="3">
        <f>Inputs!$E$17*(1+Inputs!$E$18)^(AA4-1)*AA7</f>
        <v/>
      </c>
      <c r="AB8" s="3">
        <f>Inputs!$E$17*(1+Inputs!$E$18)^(AB4-1)*AB7</f>
        <v/>
      </c>
      <c r="AC8" s="3">
        <f>Inputs!$E$17*(1+Inputs!$E$18)^(AC4-1)*AC7</f>
        <v/>
      </c>
      <c r="AD8" s="3">
        <f>Inputs!$E$17*(1+Inputs!$E$18)^(AD4-1)*AD7</f>
        <v/>
      </c>
      <c r="AE8" s="3">
        <f>Inputs!$E$17*(1+Inputs!$E$18)^(AE4-1)*AE7</f>
        <v/>
      </c>
      <c r="AF8" s="3">
        <f>Inputs!$E$17*(1+Inputs!$E$18)^(AF4-1)*AF7</f>
        <v/>
      </c>
      <c r="AG8" s="3">
        <f>Inputs!$E$17*(1+Inputs!$E$18)^(AG4-1)*AG7</f>
        <v/>
      </c>
      <c r="AH8" s="3">
        <f>Inputs!$E$17*(1+Inputs!$E$18)^(AH4-1)*AH7</f>
        <v/>
      </c>
      <c r="AI8" s="3">
        <f>Inputs!$E$17*(1+Inputs!$E$18)^(AI4-1)*AI7</f>
        <v/>
      </c>
      <c r="AJ8" s="3">
        <f>Inputs!$E$17*(1+Inputs!$E$18)^(AJ4-1)*AJ7</f>
        <v/>
      </c>
      <c r="AK8" s="3">
        <f>Inputs!$E$17*(1+Inputs!$E$18)^(AK4-1)*AK7</f>
        <v/>
      </c>
      <c r="AL8" s="3">
        <f>Inputs!$E$17*(1+Inputs!$E$18)^(AL4-1)*AL7</f>
        <v/>
      </c>
      <c r="AM8" s="3">
        <f>Inputs!$E$17*(1+Inputs!$E$18)^(AM4-1)*AM7</f>
        <v/>
      </c>
      <c r="AN8" s="3">
        <f>Inputs!$E$17*(1+Inputs!$E$18)^(AN4-1)*AN7</f>
        <v/>
      </c>
      <c r="AO8" s="3">
        <f>Inputs!$E$17*(1+Inputs!$E$18)^(AO4-1)*AO7</f>
        <v/>
      </c>
      <c r="AP8" s="3">
        <f>Inputs!$E$17*(1+Inputs!$E$18)^(AP4-1)*AP7</f>
        <v/>
      </c>
      <c r="AQ8" s="3">
        <f>Inputs!$E$17*(1+Inputs!$E$18)^(AQ4-1)*AQ7</f>
        <v/>
      </c>
      <c r="AR8" s="3">
        <f>Inputs!$E$17*(1+Inputs!$E$18)^(AR4-1)*AR7</f>
        <v/>
      </c>
      <c r="AS8" s="3">
        <f>Inputs!$E$17*(1+Inputs!$E$18)^(AS4-1)*AS7</f>
        <v/>
      </c>
      <c r="AT8" s="3">
        <f>Inputs!$E$17*(1+Inputs!$E$18)^(AT4-1)*AT7</f>
        <v/>
      </c>
      <c r="AU8" s="3">
        <f>Inputs!$E$17*(1+Inputs!$E$18)^(AU4-1)*AU7</f>
        <v/>
      </c>
      <c r="AV8" s="3">
        <f>Inputs!$E$17*(1+Inputs!$E$18)^(AV4-1)*AV7</f>
        <v/>
      </c>
      <c r="AW8" s="3">
        <f>Inputs!$E$17*(1+Inputs!$E$18)^(AW4-1)*AW7</f>
        <v/>
      </c>
      <c r="AX8" s="3">
        <f>Inputs!$E$17*(1+Inputs!$E$18)^(AX4-1)*AX7</f>
        <v/>
      </c>
      <c r="AY8" s="3">
        <f>Inputs!$E$17*(1+Inputs!$E$18)^(AY4-1)*AY7</f>
        <v/>
      </c>
      <c r="AZ8" s="3">
        <f>Inputs!$E$17*(1+Inputs!$E$18)^(AZ4-1)*AZ7</f>
        <v/>
      </c>
      <c r="BA8" s="3">
        <f>Inputs!$E$17*(1+Inputs!$E$18)^(BA4-1)*BA7</f>
        <v/>
      </c>
      <c r="BB8" s="3">
        <f>Inputs!$E$17*(1+Inputs!$E$18)^(BB4-1)*BB7</f>
        <v/>
      </c>
      <c r="BC8" s="3">
        <f>Inputs!$E$17*(1+Inputs!$E$18)^(BC4-1)*BC7</f>
        <v/>
      </c>
      <c r="BD8" s="3">
        <f>Inputs!$E$17*(1+Inputs!$E$18)^(BD4-1)*BD7</f>
        <v/>
      </c>
      <c r="BE8" s="3">
        <f>Inputs!$E$17*(1+Inputs!$E$18)^(BE4-1)*BE7</f>
        <v/>
      </c>
      <c r="BF8" s="3">
        <f>Inputs!$E$17*(1+Inputs!$E$18)^(BF4-1)*BF7</f>
        <v/>
      </c>
      <c r="BG8" s="3">
        <f>Inputs!$E$17*(1+Inputs!$E$18)^(BG4-1)*BG7</f>
        <v/>
      </c>
      <c r="BH8" s="3">
        <f>Inputs!$E$17*(1+Inputs!$E$18)^(BH4-1)*BH7</f>
        <v/>
      </c>
      <c r="BI8" s="3">
        <f>Inputs!$E$17*(1+Inputs!$E$18)^(BI4-1)*BI7</f>
        <v/>
      </c>
      <c r="BJ8" s="3">
        <f>Inputs!$E$17*(1+Inputs!$E$18)^(BJ4-1)*BJ7</f>
        <v/>
      </c>
    </row>
    <row r="9">
      <c r="A9" t="inlineStr">
        <is>
          <t>Ramp multiplier</t>
        </is>
      </c>
      <c r="C9" s="24">
        <f>IF(C3&lt;=12,INDEX(Inputs!$E$41:$E$52,C3),1)</f>
        <v/>
      </c>
      <c r="D9" s="24">
        <f>IF(D3&lt;=12,INDEX(Inputs!$E$41:$E$52,D3),1)</f>
        <v/>
      </c>
      <c r="E9" s="24">
        <f>IF(E3&lt;=12,INDEX(Inputs!$E$41:$E$52,E3),1)</f>
        <v/>
      </c>
      <c r="F9" s="24">
        <f>IF(F3&lt;=12,INDEX(Inputs!$E$41:$E$52,F3),1)</f>
        <v/>
      </c>
      <c r="G9" s="24">
        <f>IF(G3&lt;=12,INDEX(Inputs!$E$41:$E$52,G3),1)</f>
        <v/>
      </c>
      <c r="H9" s="24">
        <f>IF(H3&lt;=12,INDEX(Inputs!$E$41:$E$52,H3),1)</f>
        <v/>
      </c>
      <c r="I9" s="24">
        <f>IF(I3&lt;=12,INDEX(Inputs!$E$41:$E$52,I3),1)</f>
        <v/>
      </c>
      <c r="J9" s="24">
        <f>IF(J3&lt;=12,INDEX(Inputs!$E$41:$E$52,J3),1)</f>
        <v/>
      </c>
      <c r="K9" s="24">
        <f>IF(K3&lt;=12,INDEX(Inputs!$E$41:$E$52,K3),1)</f>
        <v/>
      </c>
      <c r="L9" s="24">
        <f>IF(L3&lt;=12,INDEX(Inputs!$E$41:$E$52,L3),1)</f>
        <v/>
      </c>
      <c r="M9" s="24">
        <f>IF(M3&lt;=12,INDEX(Inputs!$E$41:$E$52,M3),1)</f>
        <v/>
      </c>
      <c r="N9" s="24">
        <f>IF(N3&lt;=12,INDEX(Inputs!$E$41:$E$52,N3),1)</f>
        <v/>
      </c>
      <c r="O9" s="24">
        <f>IF(O3&lt;=12,INDEX(Inputs!$E$41:$E$52,O3),1)</f>
        <v/>
      </c>
      <c r="P9" s="24">
        <f>IF(P3&lt;=12,INDEX(Inputs!$E$41:$E$52,P3),1)</f>
        <v/>
      </c>
      <c r="Q9" s="24">
        <f>IF(Q3&lt;=12,INDEX(Inputs!$E$41:$E$52,Q3),1)</f>
        <v/>
      </c>
      <c r="R9" s="24">
        <f>IF(R3&lt;=12,INDEX(Inputs!$E$41:$E$52,R3),1)</f>
        <v/>
      </c>
      <c r="S9" s="24">
        <f>IF(S3&lt;=12,INDEX(Inputs!$E$41:$E$52,S3),1)</f>
        <v/>
      </c>
      <c r="T9" s="24">
        <f>IF(T3&lt;=12,INDEX(Inputs!$E$41:$E$52,T3),1)</f>
        <v/>
      </c>
      <c r="U9" s="24">
        <f>IF(U3&lt;=12,INDEX(Inputs!$E$41:$E$52,U3),1)</f>
        <v/>
      </c>
      <c r="V9" s="24">
        <f>IF(V3&lt;=12,INDEX(Inputs!$E$41:$E$52,V3),1)</f>
        <v/>
      </c>
      <c r="W9" s="24">
        <f>IF(W3&lt;=12,INDEX(Inputs!$E$41:$E$52,W3),1)</f>
        <v/>
      </c>
      <c r="X9" s="24">
        <f>IF(X3&lt;=12,INDEX(Inputs!$E$41:$E$52,X3),1)</f>
        <v/>
      </c>
      <c r="Y9" s="24">
        <f>IF(Y3&lt;=12,INDEX(Inputs!$E$41:$E$52,Y3),1)</f>
        <v/>
      </c>
      <c r="Z9" s="24">
        <f>IF(Z3&lt;=12,INDEX(Inputs!$E$41:$E$52,Z3),1)</f>
        <v/>
      </c>
      <c r="AA9" s="24">
        <f>IF(AA3&lt;=12,INDEX(Inputs!$E$41:$E$52,AA3),1)</f>
        <v/>
      </c>
      <c r="AB9" s="24">
        <f>IF(AB3&lt;=12,INDEX(Inputs!$E$41:$E$52,AB3),1)</f>
        <v/>
      </c>
      <c r="AC9" s="24">
        <f>IF(AC3&lt;=12,INDEX(Inputs!$E$41:$E$52,AC3),1)</f>
        <v/>
      </c>
      <c r="AD9" s="24">
        <f>IF(AD3&lt;=12,INDEX(Inputs!$E$41:$E$52,AD3),1)</f>
        <v/>
      </c>
      <c r="AE9" s="24">
        <f>IF(AE3&lt;=12,INDEX(Inputs!$E$41:$E$52,AE3),1)</f>
        <v/>
      </c>
      <c r="AF9" s="24">
        <f>IF(AF3&lt;=12,INDEX(Inputs!$E$41:$E$52,AF3),1)</f>
        <v/>
      </c>
      <c r="AG9" s="24">
        <f>IF(AG3&lt;=12,INDEX(Inputs!$E$41:$E$52,AG3),1)</f>
        <v/>
      </c>
      <c r="AH9" s="24">
        <f>IF(AH3&lt;=12,INDEX(Inputs!$E$41:$E$52,AH3),1)</f>
        <v/>
      </c>
      <c r="AI9" s="24">
        <f>IF(AI3&lt;=12,INDEX(Inputs!$E$41:$E$52,AI3),1)</f>
        <v/>
      </c>
      <c r="AJ9" s="24">
        <f>IF(AJ3&lt;=12,INDEX(Inputs!$E$41:$E$52,AJ3),1)</f>
        <v/>
      </c>
      <c r="AK9" s="24">
        <f>IF(AK3&lt;=12,INDEX(Inputs!$E$41:$E$52,AK3),1)</f>
        <v/>
      </c>
      <c r="AL9" s="24">
        <f>IF(AL3&lt;=12,INDEX(Inputs!$E$41:$E$52,AL3),1)</f>
        <v/>
      </c>
      <c r="AM9" s="24">
        <f>IF(AM3&lt;=12,INDEX(Inputs!$E$41:$E$52,AM3),1)</f>
        <v/>
      </c>
      <c r="AN9" s="24">
        <f>IF(AN3&lt;=12,INDEX(Inputs!$E$41:$E$52,AN3),1)</f>
        <v/>
      </c>
      <c r="AO9" s="24">
        <f>IF(AO3&lt;=12,INDEX(Inputs!$E$41:$E$52,AO3),1)</f>
        <v/>
      </c>
      <c r="AP9" s="24">
        <f>IF(AP3&lt;=12,INDEX(Inputs!$E$41:$E$52,AP3),1)</f>
        <v/>
      </c>
      <c r="AQ9" s="24">
        <f>IF(AQ3&lt;=12,INDEX(Inputs!$E$41:$E$52,AQ3),1)</f>
        <v/>
      </c>
      <c r="AR9" s="24">
        <f>IF(AR3&lt;=12,INDEX(Inputs!$E$41:$E$52,AR3),1)</f>
        <v/>
      </c>
      <c r="AS9" s="24">
        <f>IF(AS3&lt;=12,INDEX(Inputs!$E$41:$E$52,AS3),1)</f>
        <v/>
      </c>
      <c r="AT9" s="24">
        <f>IF(AT3&lt;=12,INDEX(Inputs!$E$41:$E$52,AT3),1)</f>
        <v/>
      </c>
      <c r="AU9" s="24">
        <f>IF(AU3&lt;=12,INDEX(Inputs!$E$41:$E$52,AU3),1)</f>
        <v/>
      </c>
      <c r="AV9" s="24">
        <f>IF(AV3&lt;=12,INDEX(Inputs!$E$41:$E$52,AV3),1)</f>
        <v/>
      </c>
      <c r="AW9" s="24">
        <f>IF(AW3&lt;=12,INDEX(Inputs!$E$41:$E$52,AW3),1)</f>
        <v/>
      </c>
      <c r="AX9" s="24">
        <f>IF(AX3&lt;=12,INDEX(Inputs!$E$41:$E$52,AX3),1)</f>
        <v/>
      </c>
      <c r="AY9" s="24">
        <f>IF(AY3&lt;=12,INDEX(Inputs!$E$41:$E$52,AY3),1)</f>
        <v/>
      </c>
      <c r="AZ9" s="24">
        <f>IF(AZ3&lt;=12,INDEX(Inputs!$E$41:$E$52,AZ3),1)</f>
        <v/>
      </c>
      <c r="BA9" s="24">
        <f>IF(BA3&lt;=12,INDEX(Inputs!$E$41:$E$52,BA3),1)</f>
        <v/>
      </c>
      <c r="BB9" s="24">
        <f>IF(BB3&lt;=12,INDEX(Inputs!$E$41:$E$52,BB3),1)</f>
        <v/>
      </c>
      <c r="BC9" s="24">
        <f>IF(BC3&lt;=12,INDEX(Inputs!$E$41:$E$52,BC3),1)</f>
        <v/>
      </c>
      <c r="BD9" s="24">
        <f>IF(BD3&lt;=12,INDEX(Inputs!$E$41:$E$52,BD3),1)</f>
        <v/>
      </c>
      <c r="BE9" s="24">
        <f>IF(BE3&lt;=12,INDEX(Inputs!$E$41:$E$52,BE3),1)</f>
        <v/>
      </c>
      <c r="BF9" s="24">
        <f>IF(BF3&lt;=12,INDEX(Inputs!$E$41:$E$52,BF3),1)</f>
        <v/>
      </c>
      <c r="BG9" s="24">
        <f>IF(BG3&lt;=12,INDEX(Inputs!$E$41:$E$52,BG3),1)</f>
        <v/>
      </c>
      <c r="BH9" s="24">
        <f>IF(BH3&lt;=12,INDEX(Inputs!$E$41:$E$52,BH3),1)</f>
        <v/>
      </c>
      <c r="BI9" s="24">
        <f>IF(BI3&lt;=12,INDEX(Inputs!$E$41:$E$52,BI3),1)</f>
        <v/>
      </c>
      <c r="BJ9" s="24">
        <f>IF(BJ3&lt;=12,INDEX(Inputs!$E$41:$E$52,BJ3),1)</f>
        <v/>
      </c>
    </row>
    <row r="10">
      <c r="A10" t="inlineStr">
        <is>
          <t>Capture rate</t>
        </is>
      </c>
      <c r="C10" s="25">
        <f>Inputs!$E$20*(1+Inputs!$E$21)^(C4-1)*C9</f>
        <v/>
      </c>
      <c r="D10" s="25">
        <f>Inputs!$E$20*(1+Inputs!$E$21)^(D4-1)*D9</f>
        <v/>
      </c>
      <c r="E10" s="25">
        <f>Inputs!$E$20*(1+Inputs!$E$21)^(E4-1)*E9</f>
        <v/>
      </c>
      <c r="F10" s="25">
        <f>Inputs!$E$20*(1+Inputs!$E$21)^(F4-1)*F9</f>
        <v/>
      </c>
      <c r="G10" s="25">
        <f>Inputs!$E$20*(1+Inputs!$E$21)^(G4-1)*G9</f>
        <v/>
      </c>
      <c r="H10" s="25">
        <f>Inputs!$E$20*(1+Inputs!$E$21)^(H4-1)*H9</f>
        <v/>
      </c>
      <c r="I10" s="25">
        <f>Inputs!$E$20*(1+Inputs!$E$21)^(I4-1)*I9</f>
        <v/>
      </c>
      <c r="J10" s="25">
        <f>Inputs!$E$20*(1+Inputs!$E$21)^(J4-1)*J9</f>
        <v/>
      </c>
      <c r="K10" s="25">
        <f>Inputs!$E$20*(1+Inputs!$E$21)^(K4-1)*K9</f>
        <v/>
      </c>
      <c r="L10" s="25">
        <f>Inputs!$E$20*(1+Inputs!$E$21)^(L4-1)*L9</f>
        <v/>
      </c>
      <c r="M10" s="25">
        <f>Inputs!$E$20*(1+Inputs!$E$21)^(M4-1)*M9</f>
        <v/>
      </c>
      <c r="N10" s="25">
        <f>Inputs!$E$20*(1+Inputs!$E$21)^(N4-1)*N9</f>
        <v/>
      </c>
      <c r="O10" s="25">
        <f>Inputs!$E$20*(1+Inputs!$E$21)^(O4-1)*O9</f>
        <v/>
      </c>
      <c r="P10" s="25">
        <f>Inputs!$E$20*(1+Inputs!$E$21)^(P4-1)*P9</f>
        <v/>
      </c>
      <c r="Q10" s="25">
        <f>Inputs!$E$20*(1+Inputs!$E$21)^(Q4-1)*Q9</f>
        <v/>
      </c>
      <c r="R10" s="25">
        <f>Inputs!$E$20*(1+Inputs!$E$21)^(R4-1)*R9</f>
        <v/>
      </c>
      <c r="S10" s="25">
        <f>Inputs!$E$20*(1+Inputs!$E$21)^(S4-1)*S9</f>
        <v/>
      </c>
      <c r="T10" s="25">
        <f>Inputs!$E$20*(1+Inputs!$E$21)^(T4-1)*T9</f>
        <v/>
      </c>
      <c r="U10" s="25">
        <f>Inputs!$E$20*(1+Inputs!$E$21)^(U4-1)*U9</f>
        <v/>
      </c>
      <c r="V10" s="25">
        <f>Inputs!$E$20*(1+Inputs!$E$21)^(V4-1)*V9</f>
        <v/>
      </c>
      <c r="W10" s="25">
        <f>Inputs!$E$20*(1+Inputs!$E$21)^(W4-1)*W9</f>
        <v/>
      </c>
      <c r="X10" s="25">
        <f>Inputs!$E$20*(1+Inputs!$E$21)^(X4-1)*X9</f>
        <v/>
      </c>
      <c r="Y10" s="25">
        <f>Inputs!$E$20*(1+Inputs!$E$21)^(Y4-1)*Y9</f>
        <v/>
      </c>
      <c r="Z10" s="25">
        <f>Inputs!$E$20*(1+Inputs!$E$21)^(Z4-1)*Z9</f>
        <v/>
      </c>
      <c r="AA10" s="25">
        <f>Inputs!$E$20*(1+Inputs!$E$21)^(AA4-1)*AA9</f>
        <v/>
      </c>
      <c r="AB10" s="25">
        <f>Inputs!$E$20*(1+Inputs!$E$21)^(AB4-1)*AB9</f>
        <v/>
      </c>
      <c r="AC10" s="25">
        <f>Inputs!$E$20*(1+Inputs!$E$21)^(AC4-1)*AC9</f>
        <v/>
      </c>
      <c r="AD10" s="25">
        <f>Inputs!$E$20*(1+Inputs!$E$21)^(AD4-1)*AD9</f>
        <v/>
      </c>
      <c r="AE10" s="25">
        <f>Inputs!$E$20*(1+Inputs!$E$21)^(AE4-1)*AE9</f>
        <v/>
      </c>
      <c r="AF10" s="25">
        <f>Inputs!$E$20*(1+Inputs!$E$21)^(AF4-1)*AF9</f>
        <v/>
      </c>
      <c r="AG10" s="25">
        <f>Inputs!$E$20*(1+Inputs!$E$21)^(AG4-1)*AG9</f>
        <v/>
      </c>
      <c r="AH10" s="25">
        <f>Inputs!$E$20*(1+Inputs!$E$21)^(AH4-1)*AH9</f>
        <v/>
      </c>
      <c r="AI10" s="25">
        <f>Inputs!$E$20*(1+Inputs!$E$21)^(AI4-1)*AI9</f>
        <v/>
      </c>
      <c r="AJ10" s="25">
        <f>Inputs!$E$20*(1+Inputs!$E$21)^(AJ4-1)*AJ9</f>
        <v/>
      </c>
      <c r="AK10" s="25">
        <f>Inputs!$E$20*(1+Inputs!$E$21)^(AK4-1)*AK9</f>
        <v/>
      </c>
      <c r="AL10" s="25">
        <f>Inputs!$E$20*(1+Inputs!$E$21)^(AL4-1)*AL9</f>
        <v/>
      </c>
      <c r="AM10" s="25">
        <f>Inputs!$E$20*(1+Inputs!$E$21)^(AM4-1)*AM9</f>
        <v/>
      </c>
      <c r="AN10" s="25">
        <f>Inputs!$E$20*(1+Inputs!$E$21)^(AN4-1)*AN9</f>
        <v/>
      </c>
      <c r="AO10" s="25">
        <f>Inputs!$E$20*(1+Inputs!$E$21)^(AO4-1)*AO9</f>
        <v/>
      </c>
      <c r="AP10" s="25">
        <f>Inputs!$E$20*(1+Inputs!$E$21)^(AP4-1)*AP9</f>
        <v/>
      </c>
      <c r="AQ10" s="25">
        <f>Inputs!$E$20*(1+Inputs!$E$21)^(AQ4-1)*AQ9</f>
        <v/>
      </c>
      <c r="AR10" s="25">
        <f>Inputs!$E$20*(1+Inputs!$E$21)^(AR4-1)*AR9</f>
        <v/>
      </c>
      <c r="AS10" s="25">
        <f>Inputs!$E$20*(1+Inputs!$E$21)^(AS4-1)*AS9</f>
        <v/>
      </c>
      <c r="AT10" s="25">
        <f>Inputs!$E$20*(1+Inputs!$E$21)^(AT4-1)*AT9</f>
        <v/>
      </c>
      <c r="AU10" s="25">
        <f>Inputs!$E$20*(1+Inputs!$E$21)^(AU4-1)*AU9</f>
        <v/>
      </c>
      <c r="AV10" s="25">
        <f>Inputs!$E$20*(1+Inputs!$E$21)^(AV4-1)*AV9</f>
        <v/>
      </c>
      <c r="AW10" s="25">
        <f>Inputs!$E$20*(1+Inputs!$E$21)^(AW4-1)*AW9</f>
        <v/>
      </c>
      <c r="AX10" s="25">
        <f>Inputs!$E$20*(1+Inputs!$E$21)^(AX4-1)*AX9</f>
        <v/>
      </c>
      <c r="AY10" s="25">
        <f>Inputs!$E$20*(1+Inputs!$E$21)^(AY4-1)*AY9</f>
        <v/>
      </c>
      <c r="AZ10" s="25">
        <f>Inputs!$E$20*(1+Inputs!$E$21)^(AZ4-1)*AZ9</f>
        <v/>
      </c>
      <c r="BA10" s="25">
        <f>Inputs!$E$20*(1+Inputs!$E$21)^(BA4-1)*BA9</f>
        <v/>
      </c>
      <c r="BB10" s="25">
        <f>Inputs!$E$20*(1+Inputs!$E$21)^(BB4-1)*BB9</f>
        <v/>
      </c>
      <c r="BC10" s="25">
        <f>Inputs!$E$20*(1+Inputs!$E$21)^(BC4-1)*BC9</f>
        <v/>
      </c>
      <c r="BD10" s="25">
        <f>Inputs!$E$20*(1+Inputs!$E$21)^(BD4-1)*BD9</f>
        <v/>
      </c>
      <c r="BE10" s="25">
        <f>Inputs!$E$20*(1+Inputs!$E$21)^(BE4-1)*BE9</f>
        <v/>
      </c>
      <c r="BF10" s="25">
        <f>Inputs!$E$20*(1+Inputs!$E$21)^(BF4-1)*BF9</f>
        <v/>
      </c>
      <c r="BG10" s="25">
        <f>Inputs!$E$20*(1+Inputs!$E$21)^(BG4-1)*BG9</f>
        <v/>
      </c>
      <c r="BH10" s="25">
        <f>Inputs!$E$20*(1+Inputs!$E$21)^(BH4-1)*BH9</f>
        <v/>
      </c>
      <c r="BI10" s="25">
        <f>Inputs!$E$20*(1+Inputs!$E$21)^(BI4-1)*BI9</f>
        <v/>
      </c>
      <c r="BJ10" s="25">
        <f>Inputs!$E$20*(1+Inputs!$E$21)^(BJ4-1)*BJ9</f>
        <v/>
      </c>
    </row>
    <row r="11">
      <c r="A11" t="inlineStr">
        <is>
          <t>Transactions / day</t>
        </is>
      </c>
      <c r="C11" s="24">
        <f>C8*Inputs!$E$19*C10+Inputs!$E$23*C9</f>
        <v/>
      </c>
      <c r="D11" s="24">
        <f>D8*Inputs!$E$19*D10+Inputs!$E$23*D9</f>
        <v/>
      </c>
      <c r="E11" s="24">
        <f>E8*Inputs!$E$19*E10+Inputs!$E$23*E9</f>
        <v/>
      </c>
      <c r="F11" s="24">
        <f>F8*Inputs!$E$19*F10+Inputs!$E$23*F9</f>
        <v/>
      </c>
      <c r="G11" s="24">
        <f>G8*Inputs!$E$19*G10+Inputs!$E$23*G9</f>
        <v/>
      </c>
      <c r="H11" s="24">
        <f>H8*Inputs!$E$19*H10+Inputs!$E$23*H9</f>
        <v/>
      </c>
      <c r="I11" s="24">
        <f>I8*Inputs!$E$19*I10+Inputs!$E$23*I9</f>
        <v/>
      </c>
      <c r="J11" s="24">
        <f>J8*Inputs!$E$19*J10+Inputs!$E$23*J9</f>
        <v/>
      </c>
      <c r="K11" s="24">
        <f>K8*Inputs!$E$19*K10+Inputs!$E$23*K9</f>
        <v/>
      </c>
      <c r="L11" s="24">
        <f>L8*Inputs!$E$19*L10+Inputs!$E$23*L9</f>
        <v/>
      </c>
      <c r="M11" s="24">
        <f>M8*Inputs!$E$19*M10+Inputs!$E$23*M9</f>
        <v/>
      </c>
      <c r="N11" s="24">
        <f>N8*Inputs!$E$19*N10+Inputs!$E$23*N9</f>
        <v/>
      </c>
      <c r="O11" s="24">
        <f>O8*Inputs!$E$19*O10+Inputs!$E$23*O9</f>
        <v/>
      </c>
      <c r="P11" s="24">
        <f>P8*Inputs!$E$19*P10+Inputs!$E$23*P9</f>
        <v/>
      </c>
      <c r="Q11" s="24">
        <f>Q8*Inputs!$E$19*Q10+Inputs!$E$23*Q9</f>
        <v/>
      </c>
      <c r="R11" s="24">
        <f>R8*Inputs!$E$19*R10+Inputs!$E$23*R9</f>
        <v/>
      </c>
      <c r="S11" s="24">
        <f>S8*Inputs!$E$19*S10+Inputs!$E$23*S9</f>
        <v/>
      </c>
      <c r="T11" s="24">
        <f>T8*Inputs!$E$19*T10+Inputs!$E$23*T9</f>
        <v/>
      </c>
      <c r="U11" s="24">
        <f>U8*Inputs!$E$19*U10+Inputs!$E$23*U9</f>
        <v/>
      </c>
      <c r="V11" s="24">
        <f>V8*Inputs!$E$19*V10+Inputs!$E$23*V9</f>
        <v/>
      </c>
      <c r="W11" s="24">
        <f>W8*Inputs!$E$19*W10+Inputs!$E$23*W9</f>
        <v/>
      </c>
      <c r="X11" s="24">
        <f>X8*Inputs!$E$19*X10+Inputs!$E$23*X9</f>
        <v/>
      </c>
      <c r="Y11" s="24">
        <f>Y8*Inputs!$E$19*Y10+Inputs!$E$23*Y9</f>
        <v/>
      </c>
      <c r="Z11" s="24">
        <f>Z8*Inputs!$E$19*Z10+Inputs!$E$23*Z9</f>
        <v/>
      </c>
      <c r="AA11" s="24">
        <f>AA8*Inputs!$E$19*AA10+Inputs!$E$23*AA9</f>
        <v/>
      </c>
      <c r="AB11" s="24">
        <f>AB8*Inputs!$E$19*AB10+Inputs!$E$23*AB9</f>
        <v/>
      </c>
      <c r="AC11" s="24">
        <f>AC8*Inputs!$E$19*AC10+Inputs!$E$23*AC9</f>
        <v/>
      </c>
      <c r="AD11" s="24">
        <f>AD8*Inputs!$E$19*AD10+Inputs!$E$23*AD9</f>
        <v/>
      </c>
      <c r="AE11" s="24">
        <f>AE8*Inputs!$E$19*AE10+Inputs!$E$23*AE9</f>
        <v/>
      </c>
      <c r="AF11" s="24">
        <f>AF8*Inputs!$E$19*AF10+Inputs!$E$23*AF9</f>
        <v/>
      </c>
      <c r="AG11" s="24">
        <f>AG8*Inputs!$E$19*AG10+Inputs!$E$23*AG9</f>
        <v/>
      </c>
      <c r="AH11" s="24">
        <f>AH8*Inputs!$E$19*AH10+Inputs!$E$23*AH9</f>
        <v/>
      </c>
      <c r="AI11" s="24">
        <f>AI8*Inputs!$E$19*AI10+Inputs!$E$23*AI9</f>
        <v/>
      </c>
      <c r="AJ11" s="24">
        <f>AJ8*Inputs!$E$19*AJ10+Inputs!$E$23*AJ9</f>
        <v/>
      </c>
      <c r="AK11" s="24">
        <f>AK8*Inputs!$E$19*AK10+Inputs!$E$23*AK9</f>
        <v/>
      </c>
      <c r="AL11" s="24">
        <f>AL8*Inputs!$E$19*AL10+Inputs!$E$23*AL9</f>
        <v/>
      </c>
      <c r="AM11" s="24">
        <f>AM8*Inputs!$E$19*AM10+Inputs!$E$23*AM9</f>
        <v/>
      </c>
      <c r="AN11" s="24">
        <f>AN8*Inputs!$E$19*AN10+Inputs!$E$23*AN9</f>
        <v/>
      </c>
      <c r="AO11" s="24">
        <f>AO8*Inputs!$E$19*AO10+Inputs!$E$23*AO9</f>
        <v/>
      </c>
      <c r="AP11" s="24">
        <f>AP8*Inputs!$E$19*AP10+Inputs!$E$23*AP9</f>
        <v/>
      </c>
      <c r="AQ11" s="24">
        <f>AQ8*Inputs!$E$19*AQ10+Inputs!$E$23*AQ9</f>
        <v/>
      </c>
      <c r="AR11" s="24">
        <f>AR8*Inputs!$E$19*AR10+Inputs!$E$23*AR9</f>
        <v/>
      </c>
      <c r="AS11" s="24">
        <f>AS8*Inputs!$E$19*AS10+Inputs!$E$23*AS9</f>
        <v/>
      </c>
      <c r="AT11" s="24">
        <f>AT8*Inputs!$E$19*AT10+Inputs!$E$23*AT9</f>
        <v/>
      </c>
      <c r="AU11" s="24">
        <f>AU8*Inputs!$E$19*AU10+Inputs!$E$23*AU9</f>
        <v/>
      </c>
      <c r="AV11" s="24">
        <f>AV8*Inputs!$E$19*AV10+Inputs!$E$23*AV9</f>
        <v/>
      </c>
      <c r="AW11" s="24">
        <f>AW8*Inputs!$E$19*AW10+Inputs!$E$23*AW9</f>
        <v/>
      </c>
      <c r="AX11" s="24">
        <f>AX8*Inputs!$E$19*AX10+Inputs!$E$23*AX9</f>
        <v/>
      </c>
      <c r="AY11" s="24">
        <f>AY8*Inputs!$E$19*AY10+Inputs!$E$23*AY9</f>
        <v/>
      </c>
      <c r="AZ11" s="24">
        <f>AZ8*Inputs!$E$19*AZ10+Inputs!$E$23*AZ9</f>
        <v/>
      </c>
      <c r="BA11" s="24">
        <f>BA8*Inputs!$E$19*BA10+Inputs!$E$23*BA9</f>
        <v/>
      </c>
      <c r="BB11" s="24">
        <f>BB8*Inputs!$E$19*BB10+Inputs!$E$23*BB9</f>
        <v/>
      </c>
      <c r="BC11" s="24">
        <f>BC8*Inputs!$E$19*BC10+Inputs!$E$23*BC9</f>
        <v/>
      </c>
      <c r="BD11" s="24">
        <f>BD8*Inputs!$E$19*BD10+Inputs!$E$23*BD9</f>
        <v/>
      </c>
      <c r="BE11" s="24">
        <f>BE8*Inputs!$E$19*BE10+Inputs!$E$23*BE9</f>
        <v/>
      </c>
      <c r="BF11" s="24">
        <f>BF8*Inputs!$E$19*BF10+Inputs!$E$23*BF9</f>
        <v/>
      </c>
      <c r="BG11" s="24">
        <f>BG8*Inputs!$E$19*BG10+Inputs!$E$23*BG9</f>
        <v/>
      </c>
      <c r="BH11" s="24">
        <f>BH8*Inputs!$E$19*BH10+Inputs!$E$23*BH9</f>
        <v/>
      </c>
      <c r="BI11" s="24">
        <f>BI8*Inputs!$E$19*BI10+Inputs!$E$23*BI9</f>
        <v/>
      </c>
      <c r="BJ11" s="24">
        <f>BJ8*Inputs!$E$19*BJ10+Inputs!$E$23*BJ9</f>
        <v/>
      </c>
    </row>
    <row r="12">
      <c r="A12" t="inlineStr">
        <is>
          <t>Average ticket (AMD, incl. VAT)</t>
        </is>
      </c>
      <c r="C12" s="3">
        <f>Inputs!$E$22*(1+Inputs!$E$24)^(C4-1)</f>
        <v/>
      </c>
      <c r="D12" s="3">
        <f>Inputs!$E$22*(1+Inputs!$E$24)^(D4-1)</f>
        <v/>
      </c>
      <c r="E12" s="3">
        <f>Inputs!$E$22*(1+Inputs!$E$24)^(E4-1)</f>
        <v/>
      </c>
      <c r="F12" s="3">
        <f>Inputs!$E$22*(1+Inputs!$E$24)^(F4-1)</f>
        <v/>
      </c>
      <c r="G12" s="3">
        <f>Inputs!$E$22*(1+Inputs!$E$24)^(G4-1)</f>
        <v/>
      </c>
      <c r="H12" s="3">
        <f>Inputs!$E$22*(1+Inputs!$E$24)^(H4-1)</f>
        <v/>
      </c>
      <c r="I12" s="3">
        <f>Inputs!$E$22*(1+Inputs!$E$24)^(I4-1)</f>
        <v/>
      </c>
      <c r="J12" s="3">
        <f>Inputs!$E$22*(1+Inputs!$E$24)^(J4-1)</f>
        <v/>
      </c>
      <c r="K12" s="3">
        <f>Inputs!$E$22*(1+Inputs!$E$24)^(K4-1)</f>
        <v/>
      </c>
      <c r="L12" s="3">
        <f>Inputs!$E$22*(1+Inputs!$E$24)^(L4-1)</f>
        <v/>
      </c>
      <c r="M12" s="3">
        <f>Inputs!$E$22*(1+Inputs!$E$24)^(M4-1)</f>
        <v/>
      </c>
      <c r="N12" s="3">
        <f>Inputs!$E$22*(1+Inputs!$E$24)^(N4-1)</f>
        <v/>
      </c>
      <c r="O12" s="3">
        <f>Inputs!$E$22*(1+Inputs!$E$24)^(O4-1)</f>
        <v/>
      </c>
      <c r="P12" s="3">
        <f>Inputs!$E$22*(1+Inputs!$E$24)^(P4-1)</f>
        <v/>
      </c>
      <c r="Q12" s="3">
        <f>Inputs!$E$22*(1+Inputs!$E$24)^(Q4-1)</f>
        <v/>
      </c>
      <c r="R12" s="3">
        <f>Inputs!$E$22*(1+Inputs!$E$24)^(R4-1)</f>
        <v/>
      </c>
      <c r="S12" s="3">
        <f>Inputs!$E$22*(1+Inputs!$E$24)^(S4-1)</f>
        <v/>
      </c>
      <c r="T12" s="3">
        <f>Inputs!$E$22*(1+Inputs!$E$24)^(T4-1)</f>
        <v/>
      </c>
      <c r="U12" s="3">
        <f>Inputs!$E$22*(1+Inputs!$E$24)^(U4-1)</f>
        <v/>
      </c>
      <c r="V12" s="3">
        <f>Inputs!$E$22*(1+Inputs!$E$24)^(V4-1)</f>
        <v/>
      </c>
      <c r="W12" s="3">
        <f>Inputs!$E$22*(1+Inputs!$E$24)^(W4-1)</f>
        <v/>
      </c>
      <c r="X12" s="3">
        <f>Inputs!$E$22*(1+Inputs!$E$24)^(X4-1)</f>
        <v/>
      </c>
      <c r="Y12" s="3">
        <f>Inputs!$E$22*(1+Inputs!$E$24)^(Y4-1)</f>
        <v/>
      </c>
      <c r="Z12" s="3">
        <f>Inputs!$E$22*(1+Inputs!$E$24)^(Z4-1)</f>
        <v/>
      </c>
      <c r="AA12" s="3">
        <f>Inputs!$E$22*(1+Inputs!$E$24)^(AA4-1)</f>
        <v/>
      </c>
      <c r="AB12" s="3">
        <f>Inputs!$E$22*(1+Inputs!$E$24)^(AB4-1)</f>
        <v/>
      </c>
      <c r="AC12" s="3">
        <f>Inputs!$E$22*(1+Inputs!$E$24)^(AC4-1)</f>
        <v/>
      </c>
      <c r="AD12" s="3">
        <f>Inputs!$E$22*(1+Inputs!$E$24)^(AD4-1)</f>
        <v/>
      </c>
      <c r="AE12" s="3">
        <f>Inputs!$E$22*(1+Inputs!$E$24)^(AE4-1)</f>
        <v/>
      </c>
      <c r="AF12" s="3">
        <f>Inputs!$E$22*(1+Inputs!$E$24)^(AF4-1)</f>
        <v/>
      </c>
      <c r="AG12" s="3">
        <f>Inputs!$E$22*(1+Inputs!$E$24)^(AG4-1)</f>
        <v/>
      </c>
      <c r="AH12" s="3">
        <f>Inputs!$E$22*(1+Inputs!$E$24)^(AH4-1)</f>
        <v/>
      </c>
      <c r="AI12" s="3">
        <f>Inputs!$E$22*(1+Inputs!$E$24)^(AI4-1)</f>
        <v/>
      </c>
      <c r="AJ12" s="3">
        <f>Inputs!$E$22*(1+Inputs!$E$24)^(AJ4-1)</f>
        <v/>
      </c>
      <c r="AK12" s="3">
        <f>Inputs!$E$22*(1+Inputs!$E$24)^(AK4-1)</f>
        <v/>
      </c>
      <c r="AL12" s="3">
        <f>Inputs!$E$22*(1+Inputs!$E$24)^(AL4-1)</f>
        <v/>
      </c>
      <c r="AM12" s="3">
        <f>Inputs!$E$22*(1+Inputs!$E$24)^(AM4-1)</f>
        <v/>
      </c>
      <c r="AN12" s="3">
        <f>Inputs!$E$22*(1+Inputs!$E$24)^(AN4-1)</f>
        <v/>
      </c>
      <c r="AO12" s="3">
        <f>Inputs!$E$22*(1+Inputs!$E$24)^(AO4-1)</f>
        <v/>
      </c>
      <c r="AP12" s="3">
        <f>Inputs!$E$22*(1+Inputs!$E$24)^(AP4-1)</f>
        <v/>
      </c>
      <c r="AQ12" s="3">
        <f>Inputs!$E$22*(1+Inputs!$E$24)^(AQ4-1)</f>
        <v/>
      </c>
      <c r="AR12" s="3">
        <f>Inputs!$E$22*(1+Inputs!$E$24)^(AR4-1)</f>
        <v/>
      </c>
      <c r="AS12" s="3">
        <f>Inputs!$E$22*(1+Inputs!$E$24)^(AS4-1)</f>
        <v/>
      </c>
      <c r="AT12" s="3">
        <f>Inputs!$E$22*(1+Inputs!$E$24)^(AT4-1)</f>
        <v/>
      </c>
      <c r="AU12" s="3">
        <f>Inputs!$E$22*(1+Inputs!$E$24)^(AU4-1)</f>
        <v/>
      </c>
      <c r="AV12" s="3">
        <f>Inputs!$E$22*(1+Inputs!$E$24)^(AV4-1)</f>
        <v/>
      </c>
      <c r="AW12" s="3">
        <f>Inputs!$E$22*(1+Inputs!$E$24)^(AW4-1)</f>
        <v/>
      </c>
      <c r="AX12" s="3">
        <f>Inputs!$E$22*(1+Inputs!$E$24)^(AX4-1)</f>
        <v/>
      </c>
      <c r="AY12" s="3">
        <f>Inputs!$E$22*(1+Inputs!$E$24)^(AY4-1)</f>
        <v/>
      </c>
      <c r="AZ12" s="3">
        <f>Inputs!$E$22*(1+Inputs!$E$24)^(AZ4-1)</f>
        <v/>
      </c>
      <c r="BA12" s="3">
        <f>Inputs!$E$22*(1+Inputs!$E$24)^(BA4-1)</f>
        <v/>
      </c>
      <c r="BB12" s="3">
        <f>Inputs!$E$22*(1+Inputs!$E$24)^(BB4-1)</f>
        <v/>
      </c>
      <c r="BC12" s="3">
        <f>Inputs!$E$22*(1+Inputs!$E$24)^(BC4-1)</f>
        <v/>
      </c>
      <c r="BD12" s="3">
        <f>Inputs!$E$22*(1+Inputs!$E$24)^(BD4-1)</f>
        <v/>
      </c>
      <c r="BE12" s="3">
        <f>Inputs!$E$22*(1+Inputs!$E$24)^(BE4-1)</f>
        <v/>
      </c>
      <c r="BF12" s="3">
        <f>Inputs!$E$22*(1+Inputs!$E$24)^(BF4-1)</f>
        <v/>
      </c>
      <c r="BG12" s="3">
        <f>Inputs!$E$22*(1+Inputs!$E$24)^(BG4-1)</f>
        <v/>
      </c>
      <c r="BH12" s="3">
        <f>Inputs!$E$22*(1+Inputs!$E$24)^(BH4-1)</f>
        <v/>
      </c>
      <c r="BI12" s="3">
        <f>Inputs!$E$22*(1+Inputs!$E$24)^(BI4-1)</f>
        <v/>
      </c>
      <c r="BJ12" s="3">
        <f>Inputs!$E$22*(1+Inputs!$E$24)^(BJ4-1)</f>
        <v/>
      </c>
    </row>
    <row r="13">
      <c r="A13" t="inlineStr">
        <is>
          <t>Gross sales (incl. VAT)</t>
        </is>
      </c>
      <c r="C13" s="3">
        <f>C11*C6*C12</f>
        <v/>
      </c>
      <c r="D13" s="3">
        <f>D11*D6*D12</f>
        <v/>
      </c>
      <c r="E13" s="3">
        <f>E11*E6*E12</f>
        <v/>
      </c>
      <c r="F13" s="3">
        <f>F11*F6*F12</f>
        <v/>
      </c>
      <c r="G13" s="3">
        <f>G11*G6*G12</f>
        <v/>
      </c>
      <c r="H13" s="3">
        <f>H11*H6*H12</f>
        <v/>
      </c>
      <c r="I13" s="3">
        <f>I11*I6*I12</f>
        <v/>
      </c>
      <c r="J13" s="3">
        <f>J11*J6*J12</f>
        <v/>
      </c>
      <c r="K13" s="3">
        <f>K11*K6*K12</f>
        <v/>
      </c>
      <c r="L13" s="3">
        <f>L11*L6*L12</f>
        <v/>
      </c>
      <c r="M13" s="3">
        <f>M11*M6*M12</f>
        <v/>
      </c>
      <c r="N13" s="3">
        <f>N11*N6*N12</f>
        <v/>
      </c>
      <c r="O13" s="3">
        <f>O11*O6*O12</f>
        <v/>
      </c>
      <c r="P13" s="3">
        <f>P11*P6*P12</f>
        <v/>
      </c>
      <c r="Q13" s="3">
        <f>Q11*Q6*Q12</f>
        <v/>
      </c>
      <c r="R13" s="3">
        <f>R11*R6*R12</f>
        <v/>
      </c>
      <c r="S13" s="3">
        <f>S11*S6*S12</f>
        <v/>
      </c>
      <c r="T13" s="3">
        <f>T11*T6*T12</f>
        <v/>
      </c>
      <c r="U13" s="3">
        <f>U11*U6*U12</f>
        <v/>
      </c>
      <c r="V13" s="3">
        <f>V11*V6*V12</f>
        <v/>
      </c>
      <c r="W13" s="3">
        <f>W11*W6*W12</f>
        <v/>
      </c>
      <c r="X13" s="3">
        <f>X11*X6*X12</f>
        <v/>
      </c>
      <c r="Y13" s="3">
        <f>Y11*Y6*Y12</f>
        <v/>
      </c>
      <c r="Z13" s="3">
        <f>Z11*Z6*Z12</f>
        <v/>
      </c>
      <c r="AA13" s="3">
        <f>AA11*AA6*AA12</f>
        <v/>
      </c>
      <c r="AB13" s="3">
        <f>AB11*AB6*AB12</f>
        <v/>
      </c>
      <c r="AC13" s="3">
        <f>AC11*AC6*AC12</f>
        <v/>
      </c>
      <c r="AD13" s="3">
        <f>AD11*AD6*AD12</f>
        <v/>
      </c>
      <c r="AE13" s="3">
        <f>AE11*AE6*AE12</f>
        <v/>
      </c>
      <c r="AF13" s="3">
        <f>AF11*AF6*AF12</f>
        <v/>
      </c>
      <c r="AG13" s="3">
        <f>AG11*AG6*AG12</f>
        <v/>
      </c>
      <c r="AH13" s="3">
        <f>AH11*AH6*AH12</f>
        <v/>
      </c>
      <c r="AI13" s="3">
        <f>AI11*AI6*AI12</f>
        <v/>
      </c>
      <c r="AJ13" s="3">
        <f>AJ11*AJ6*AJ12</f>
        <v/>
      </c>
      <c r="AK13" s="3">
        <f>AK11*AK6*AK12</f>
        <v/>
      </c>
      <c r="AL13" s="3">
        <f>AL11*AL6*AL12</f>
        <v/>
      </c>
      <c r="AM13" s="3">
        <f>AM11*AM6*AM12</f>
        <v/>
      </c>
      <c r="AN13" s="3">
        <f>AN11*AN6*AN12</f>
        <v/>
      </c>
      <c r="AO13" s="3">
        <f>AO11*AO6*AO12</f>
        <v/>
      </c>
      <c r="AP13" s="3">
        <f>AP11*AP6*AP12</f>
        <v/>
      </c>
      <c r="AQ13" s="3">
        <f>AQ11*AQ6*AQ12</f>
        <v/>
      </c>
      <c r="AR13" s="3">
        <f>AR11*AR6*AR12</f>
        <v/>
      </c>
      <c r="AS13" s="3">
        <f>AS11*AS6*AS12</f>
        <v/>
      </c>
      <c r="AT13" s="3">
        <f>AT11*AT6*AT12</f>
        <v/>
      </c>
      <c r="AU13" s="3">
        <f>AU11*AU6*AU12</f>
        <v/>
      </c>
      <c r="AV13" s="3">
        <f>AV11*AV6*AV12</f>
        <v/>
      </c>
      <c r="AW13" s="3">
        <f>AW11*AW6*AW12</f>
        <v/>
      </c>
      <c r="AX13" s="3">
        <f>AX11*AX6*AX12</f>
        <v/>
      </c>
      <c r="AY13" s="3">
        <f>AY11*AY6*AY12</f>
        <v/>
      </c>
      <c r="AZ13" s="3">
        <f>AZ11*AZ6*AZ12</f>
        <v/>
      </c>
      <c r="BA13" s="3">
        <f>BA11*BA6*BA12</f>
        <v/>
      </c>
      <c r="BB13" s="3">
        <f>BB11*BB6*BB12</f>
        <v/>
      </c>
      <c r="BC13" s="3">
        <f>BC11*BC6*BC12</f>
        <v/>
      </c>
      <c r="BD13" s="3">
        <f>BD11*BD6*BD12</f>
        <v/>
      </c>
      <c r="BE13" s="3">
        <f>BE11*BE6*BE12</f>
        <v/>
      </c>
      <c r="BF13" s="3">
        <f>BF11*BF6*BF12</f>
        <v/>
      </c>
      <c r="BG13" s="3">
        <f>BG11*BG6*BG12</f>
        <v/>
      </c>
      <c r="BH13" s="3">
        <f>BH11*BH6*BH12</f>
        <v/>
      </c>
      <c r="BI13" s="3">
        <f>BI11*BI6*BI12</f>
        <v/>
      </c>
      <c r="BJ13" s="3">
        <f>BJ11*BJ6*BJ12</f>
        <v/>
      </c>
    </row>
    <row r="14">
      <c r="A14" s="18" t="inlineStr">
        <is>
          <t>Net sales (excl. VAT)</t>
        </is>
      </c>
      <c r="C14" s="3">
        <f>C13/(1+Inputs!$E$10)</f>
        <v/>
      </c>
      <c r="D14" s="3">
        <f>D13/(1+Inputs!$E$10)</f>
        <v/>
      </c>
      <c r="E14" s="3">
        <f>E13/(1+Inputs!$E$10)</f>
        <v/>
      </c>
      <c r="F14" s="3">
        <f>F13/(1+Inputs!$E$10)</f>
        <v/>
      </c>
      <c r="G14" s="3">
        <f>G13/(1+Inputs!$E$10)</f>
        <v/>
      </c>
      <c r="H14" s="3">
        <f>H13/(1+Inputs!$E$10)</f>
        <v/>
      </c>
      <c r="I14" s="3">
        <f>I13/(1+Inputs!$E$10)</f>
        <v/>
      </c>
      <c r="J14" s="3">
        <f>J13/(1+Inputs!$E$10)</f>
        <v/>
      </c>
      <c r="K14" s="3">
        <f>K13/(1+Inputs!$E$10)</f>
        <v/>
      </c>
      <c r="L14" s="3">
        <f>L13/(1+Inputs!$E$10)</f>
        <v/>
      </c>
      <c r="M14" s="3">
        <f>M13/(1+Inputs!$E$10)</f>
        <v/>
      </c>
      <c r="N14" s="3">
        <f>N13/(1+Inputs!$E$10)</f>
        <v/>
      </c>
      <c r="O14" s="3">
        <f>O13/(1+Inputs!$E$10)</f>
        <v/>
      </c>
      <c r="P14" s="3">
        <f>P13/(1+Inputs!$E$10)</f>
        <v/>
      </c>
      <c r="Q14" s="3">
        <f>Q13/(1+Inputs!$E$10)</f>
        <v/>
      </c>
      <c r="R14" s="3">
        <f>R13/(1+Inputs!$E$10)</f>
        <v/>
      </c>
      <c r="S14" s="3">
        <f>S13/(1+Inputs!$E$10)</f>
        <v/>
      </c>
      <c r="T14" s="3">
        <f>T13/(1+Inputs!$E$10)</f>
        <v/>
      </c>
      <c r="U14" s="3">
        <f>U13/(1+Inputs!$E$10)</f>
        <v/>
      </c>
      <c r="V14" s="3">
        <f>V13/(1+Inputs!$E$10)</f>
        <v/>
      </c>
      <c r="W14" s="3">
        <f>W13/(1+Inputs!$E$10)</f>
        <v/>
      </c>
      <c r="X14" s="3">
        <f>X13/(1+Inputs!$E$10)</f>
        <v/>
      </c>
      <c r="Y14" s="3">
        <f>Y13/(1+Inputs!$E$10)</f>
        <v/>
      </c>
      <c r="Z14" s="3">
        <f>Z13/(1+Inputs!$E$10)</f>
        <v/>
      </c>
      <c r="AA14" s="3">
        <f>AA13/(1+Inputs!$E$10)</f>
        <v/>
      </c>
      <c r="AB14" s="3">
        <f>AB13/(1+Inputs!$E$10)</f>
        <v/>
      </c>
      <c r="AC14" s="3">
        <f>AC13/(1+Inputs!$E$10)</f>
        <v/>
      </c>
      <c r="AD14" s="3">
        <f>AD13/(1+Inputs!$E$10)</f>
        <v/>
      </c>
      <c r="AE14" s="3">
        <f>AE13/(1+Inputs!$E$10)</f>
        <v/>
      </c>
      <c r="AF14" s="3">
        <f>AF13/(1+Inputs!$E$10)</f>
        <v/>
      </c>
      <c r="AG14" s="3">
        <f>AG13/(1+Inputs!$E$10)</f>
        <v/>
      </c>
      <c r="AH14" s="3">
        <f>AH13/(1+Inputs!$E$10)</f>
        <v/>
      </c>
      <c r="AI14" s="3">
        <f>AI13/(1+Inputs!$E$10)</f>
        <v/>
      </c>
      <c r="AJ14" s="3">
        <f>AJ13/(1+Inputs!$E$10)</f>
        <v/>
      </c>
      <c r="AK14" s="3">
        <f>AK13/(1+Inputs!$E$10)</f>
        <v/>
      </c>
      <c r="AL14" s="3">
        <f>AL13/(1+Inputs!$E$10)</f>
        <v/>
      </c>
      <c r="AM14" s="3">
        <f>AM13/(1+Inputs!$E$10)</f>
        <v/>
      </c>
      <c r="AN14" s="3">
        <f>AN13/(1+Inputs!$E$10)</f>
        <v/>
      </c>
      <c r="AO14" s="3">
        <f>AO13/(1+Inputs!$E$10)</f>
        <v/>
      </c>
      <c r="AP14" s="3">
        <f>AP13/(1+Inputs!$E$10)</f>
        <v/>
      </c>
      <c r="AQ14" s="3">
        <f>AQ13/(1+Inputs!$E$10)</f>
        <v/>
      </c>
      <c r="AR14" s="3">
        <f>AR13/(1+Inputs!$E$10)</f>
        <v/>
      </c>
      <c r="AS14" s="3">
        <f>AS13/(1+Inputs!$E$10)</f>
        <v/>
      </c>
      <c r="AT14" s="3">
        <f>AT13/(1+Inputs!$E$10)</f>
        <v/>
      </c>
      <c r="AU14" s="3">
        <f>AU13/(1+Inputs!$E$10)</f>
        <v/>
      </c>
      <c r="AV14" s="3">
        <f>AV13/(1+Inputs!$E$10)</f>
        <v/>
      </c>
      <c r="AW14" s="3">
        <f>AW13/(1+Inputs!$E$10)</f>
        <v/>
      </c>
      <c r="AX14" s="3">
        <f>AX13/(1+Inputs!$E$10)</f>
        <v/>
      </c>
      <c r="AY14" s="3">
        <f>AY13/(1+Inputs!$E$10)</f>
        <v/>
      </c>
      <c r="AZ14" s="3">
        <f>AZ13/(1+Inputs!$E$10)</f>
        <v/>
      </c>
      <c r="BA14" s="3">
        <f>BA13/(1+Inputs!$E$10)</f>
        <v/>
      </c>
      <c r="BB14" s="3">
        <f>BB13/(1+Inputs!$E$10)</f>
        <v/>
      </c>
      <c r="BC14" s="3">
        <f>BC13/(1+Inputs!$E$10)</f>
        <v/>
      </c>
      <c r="BD14" s="3">
        <f>BD13/(1+Inputs!$E$10)</f>
        <v/>
      </c>
      <c r="BE14" s="3">
        <f>BE13/(1+Inputs!$E$10)</f>
        <v/>
      </c>
      <c r="BF14" s="3">
        <f>BF13/(1+Inputs!$E$10)</f>
        <v/>
      </c>
      <c r="BG14" s="3">
        <f>BG13/(1+Inputs!$E$10)</f>
        <v/>
      </c>
      <c r="BH14" s="3">
        <f>BH13/(1+Inputs!$E$10)</f>
        <v/>
      </c>
      <c r="BI14" s="3">
        <f>BI13/(1+Inputs!$E$10)</f>
        <v/>
      </c>
      <c r="BJ14" s="3">
        <f>BJ13/(1+Inputs!$E$10)</f>
        <v/>
      </c>
    </row>
    <row r="15">
      <c r="A15" t="inlineStr">
        <is>
          <t>COGS + waste</t>
        </is>
      </c>
      <c r="C15" s="3">
        <f>C14*(Inputs!$E$55+Inputs!$E$56)</f>
        <v/>
      </c>
      <c r="D15" s="3">
        <f>D14*(Inputs!$E$55+Inputs!$E$56)</f>
        <v/>
      </c>
      <c r="E15" s="3">
        <f>E14*(Inputs!$E$55+Inputs!$E$56)</f>
        <v/>
      </c>
      <c r="F15" s="3">
        <f>F14*(Inputs!$E$55+Inputs!$E$56)</f>
        <v/>
      </c>
      <c r="G15" s="3">
        <f>G14*(Inputs!$E$55+Inputs!$E$56)</f>
        <v/>
      </c>
      <c r="H15" s="3">
        <f>H14*(Inputs!$E$55+Inputs!$E$56)</f>
        <v/>
      </c>
      <c r="I15" s="3">
        <f>I14*(Inputs!$E$55+Inputs!$E$56)</f>
        <v/>
      </c>
      <c r="J15" s="3">
        <f>J14*(Inputs!$E$55+Inputs!$E$56)</f>
        <v/>
      </c>
      <c r="K15" s="3">
        <f>K14*(Inputs!$E$55+Inputs!$E$56)</f>
        <v/>
      </c>
      <c r="L15" s="3">
        <f>L14*(Inputs!$E$55+Inputs!$E$56)</f>
        <v/>
      </c>
      <c r="M15" s="3">
        <f>M14*(Inputs!$E$55+Inputs!$E$56)</f>
        <v/>
      </c>
      <c r="N15" s="3">
        <f>N14*(Inputs!$E$55+Inputs!$E$56)</f>
        <v/>
      </c>
      <c r="O15" s="3">
        <f>O14*(Inputs!$E$55+Inputs!$E$56)</f>
        <v/>
      </c>
      <c r="P15" s="3">
        <f>P14*(Inputs!$E$55+Inputs!$E$56)</f>
        <v/>
      </c>
      <c r="Q15" s="3">
        <f>Q14*(Inputs!$E$55+Inputs!$E$56)</f>
        <v/>
      </c>
      <c r="R15" s="3">
        <f>R14*(Inputs!$E$55+Inputs!$E$56)</f>
        <v/>
      </c>
      <c r="S15" s="3">
        <f>S14*(Inputs!$E$55+Inputs!$E$56)</f>
        <v/>
      </c>
      <c r="T15" s="3">
        <f>T14*(Inputs!$E$55+Inputs!$E$56)</f>
        <v/>
      </c>
      <c r="U15" s="3">
        <f>U14*(Inputs!$E$55+Inputs!$E$56)</f>
        <v/>
      </c>
      <c r="V15" s="3">
        <f>V14*(Inputs!$E$55+Inputs!$E$56)</f>
        <v/>
      </c>
      <c r="W15" s="3">
        <f>W14*(Inputs!$E$55+Inputs!$E$56)</f>
        <v/>
      </c>
      <c r="X15" s="3">
        <f>X14*(Inputs!$E$55+Inputs!$E$56)</f>
        <v/>
      </c>
      <c r="Y15" s="3">
        <f>Y14*(Inputs!$E$55+Inputs!$E$56)</f>
        <v/>
      </c>
      <c r="Z15" s="3">
        <f>Z14*(Inputs!$E$55+Inputs!$E$56)</f>
        <v/>
      </c>
      <c r="AA15" s="3">
        <f>AA14*(Inputs!$E$55+Inputs!$E$56)</f>
        <v/>
      </c>
      <c r="AB15" s="3">
        <f>AB14*(Inputs!$E$55+Inputs!$E$56)</f>
        <v/>
      </c>
      <c r="AC15" s="3">
        <f>AC14*(Inputs!$E$55+Inputs!$E$56)</f>
        <v/>
      </c>
      <c r="AD15" s="3">
        <f>AD14*(Inputs!$E$55+Inputs!$E$56)</f>
        <v/>
      </c>
      <c r="AE15" s="3">
        <f>AE14*(Inputs!$E$55+Inputs!$E$56)</f>
        <v/>
      </c>
      <c r="AF15" s="3">
        <f>AF14*(Inputs!$E$55+Inputs!$E$56)</f>
        <v/>
      </c>
      <c r="AG15" s="3">
        <f>AG14*(Inputs!$E$55+Inputs!$E$56)</f>
        <v/>
      </c>
      <c r="AH15" s="3">
        <f>AH14*(Inputs!$E$55+Inputs!$E$56)</f>
        <v/>
      </c>
      <c r="AI15" s="3">
        <f>AI14*(Inputs!$E$55+Inputs!$E$56)</f>
        <v/>
      </c>
      <c r="AJ15" s="3">
        <f>AJ14*(Inputs!$E$55+Inputs!$E$56)</f>
        <v/>
      </c>
      <c r="AK15" s="3">
        <f>AK14*(Inputs!$E$55+Inputs!$E$56)</f>
        <v/>
      </c>
      <c r="AL15" s="3">
        <f>AL14*(Inputs!$E$55+Inputs!$E$56)</f>
        <v/>
      </c>
      <c r="AM15" s="3">
        <f>AM14*(Inputs!$E$55+Inputs!$E$56)</f>
        <v/>
      </c>
      <c r="AN15" s="3">
        <f>AN14*(Inputs!$E$55+Inputs!$E$56)</f>
        <v/>
      </c>
      <c r="AO15" s="3">
        <f>AO14*(Inputs!$E$55+Inputs!$E$56)</f>
        <v/>
      </c>
      <c r="AP15" s="3">
        <f>AP14*(Inputs!$E$55+Inputs!$E$56)</f>
        <v/>
      </c>
      <c r="AQ15" s="3">
        <f>AQ14*(Inputs!$E$55+Inputs!$E$56)</f>
        <v/>
      </c>
      <c r="AR15" s="3">
        <f>AR14*(Inputs!$E$55+Inputs!$E$56)</f>
        <v/>
      </c>
      <c r="AS15" s="3">
        <f>AS14*(Inputs!$E$55+Inputs!$E$56)</f>
        <v/>
      </c>
      <c r="AT15" s="3">
        <f>AT14*(Inputs!$E$55+Inputs!$E$56)</f>
        <v/>
      </c>
      <c r="AU15" s="3">
        <f>AU14*(Inputs!$E$55+Inputs!$E$56)</f>
        <v/>
      </c>
      <c r="AV15" s="3">
        <f>AV14*(Inputs!$E$55+Inputs!$E$56)</f>
        <v/>
      </c>
      <c r="AW15" s="3">
        <f>AW14*(Inputs!$E$55+Inputs!$E$56)</f>
        <v/>
      </c>
      <c r="AX15" s="3">
        <f>AX14*(Inputs!$E$55+Inputs!$E$56)</f>
        <v/>
      </c>
      <c r="AY15" s="3">
        <f>AY14*(Inputs!$E$55+Inputs!$E$56)</f>
        <v/>
      </c>
      <c r="AZ15" s="3">
        <f>AZ14*(Inputs!$E$55+Inputs!$E$56)</f>
        <v/>
      </c>
      <c r="BA15" s="3">
        <f>BA14*(Inputs!$E$55+Inputs!$E$56)</f>
        <v/>
      </c>
      <c r="BB15" s="3">
        <f>BB14*(Inputs!$E$55+Inputs!$E$56)</f>
        <v/>
      </c>
      <c r="BC15" s="3">
        <f>BC14*(Inputs!$E$55+Inputs!$E$56)</f>
        <v/>
      </c>
      <c r="BD15" s="3">
        <f>BD14*(Inputs!$E$55+Inputs!$E$56)</f>
        <v/>
      </c>
      <c r="BE15" s="3">
        <f>BE14*(Inputs!$E$55+Inputs!$E$56)</f>
        <v/>
      </c>
      <c r="BF15" s="3">
        <f>BF14*(Inputs!$E$55+Inputs!$E$56)</f>
        <v/>
      </c>
      <c r="BG15" s="3">
        <f>BG14*(Inputs!$E$55+Inputs!$E$56)</f>
        <v/>
      </c>
      <c r="BH15" s="3">
        <f>BH14*(Inputs!$E$55+Inputs!$E$56)</f>
        <v/>
      </c>
      <c r="BI15" s="3">
        <f>BI14*(Inputs!$E$55+Inputs!$E$56)</f>
        <v/>
      </c>
      <c r="BJ15" s="3">
        <f>BJ14*(Inputs!$E$55+Inputs!$E$56)</f>
        <v/>
      </c>
    </row>
    <row r="16">
      <c r="A16" t="inlineStr">
        <is>
          <t>Card fees</t>
        </is>
      </c>
      <c r="C16" s="3">
        <f>C13*Inputs!$E$57*Inputs!$E$58</f>
        <v/>
      </c>
      <c r="D16" s="3">
        <f>D13*Inputs!$E$57*Inputs!$E$58</f>
        <v/>
      </c>
      <c r="E16" s="3">
        <f>E13*Inputs!$E$57*Inputs!$E$58</f>
        <v/>
      </c>
      <c r="F16" s="3">
        <f>F13*Inputs!$E$57*Inputs!$E$58</f>
        <v/>
      </c>
      <c r="G16" s="3">
        <f>G13*Inputs!$E$57*Inputs!$E$58</f>
        <v/>
      </c>
      <c r="H16" s="3">
        <f>H13*Inputs!$E$57*Inputs!$E$58</f>
        <v/>
      </c>
      <c r="I16" s="3">
        <f>I13*Inputs!$E$57*Inputs!$E$58</f>
        <v/>
      </c>
      <c r="J16" s="3">
        <f>J13*Inputs!$E$57*Inputs!$E$58</f>
        <v/>
      </c>
      <c r="K16" s="3">
        <f>K13*Inputs!$E$57*Inputs!$E$58</f>
        <v/>
      </c>
      <c r="L16" s="3">
        <f>L13*Inputs!$E$57*Inputs!$E$58</f>
        <v/>
      </c>
      <c r="M16" s="3">
        <f>M13*Inputs!$E$57*Inputs!$E$58</f>
        <v/>
      </c>
      <c r="N16" s="3">
        <f>N13*Inputs!$E$57*Inputs!$E$58</f>
        <v/>
      </c>
      <c r="O16" s="3">
        <f>O13*Inputs!$E$57*Inputs!$E$58</f>
        <v/>
      </c>
      <c r="P16" s="3">
        <f>P13*Inputs!$E$57*Inputs!$E$58</f>
        <v/>
      </c>
      <c r="Q16" s="3">
        <f>Q13*Inputs!$E$57*Inputs!$E$58</f>
        <v/>
      </c>
      <c r="R16" s="3">
        <f>R13*Inputs!$E$57*Inputs!$E$58</f>
        <v/>
      </c>
      <c r="S16" s="3">
        <f>S13*Inputs!$E$57*Inputs!$E$58</f>
        <v/>
      </c>
      <c r="T16" s="3">
        <f>T13*Inputs!$E$57*Inputs!$E$58</f>
        <v/>
      </c>
      <c r="U16" s="3">
        <f>U13*Inputs!$E$57*Inputs!$E$58</f>
        <v/>
      </c>
      <c r="V16" s="3">
        <f>V13*Inputs!$E$57*Inputs!$E$58</f>
        <v/>
      </c>
      <c r="W16" s="3">
        <f>W13*Inputs!$E$57*Inputs!$E$58</f>
        <v/>
      </c>
      <c r="X16" s="3">
        <f>X13*Inputs!$E$57*Inputs!$E$58</f>
        <v/>
      </c>
      <c r="Y16" s="3">
        <f>Y13*Inputs!$E$57*Inputs!$E$58</f>
        <v/>
      </c>
      <c r="Z16" s="3">
        <f>Z13*Inputs!$E$57*Inputs!$E$58</f>
        <v/>
      </c>
      <c r="AA16" s="3">
        <f>AA13*Inputs!$E$57*Inputs!$E$58</f>
        <v/>
      </c>
      <c r="AB16" s="3">
        <f>AB13*Inputs!$E$57*Inputs!$E$58</f>
        <v/>
      </c>
      <c r="AC16" s="3">
        <f>AC13*Inputs!$E$57*Inputs!$E$58</f>
        <v/>
      </c>
      <c r="AD16" s="3">
        <f>AD13*Inputs!$E$57*Inputs!$E$58</f>
        <v/>
      </c>
      <c r="AE16" s="3">
        <f>AE13*Inputs!$E$57*Inputs!$E$58</f>
        <v/>
      </c>
      <c r="AF16" s="3">
        <f>AF13*Inputs!$E$57*Inputs!$E$58</f>
        <v/>
      </c>
      <c r="AG16" s="3">
        <f>AG13*Inputs!$E$57*Inputs!$E$58</f>
        <v/>
      </c>
      <c r="AH16" s="3">
        <f>AH13*Inputs!$E$57*Inputs!$E$58</f>
        <v/>
      </c>
      <c r="AI16" s="3">
        <f>AI13*Inputs!$E$57*Inputs!$E$58</f>
        <v/>
      </c>
      <c r="AJ16" s="3">
        <f>AJ13*Inputs!$E$57*Inputs!$E$58</f>
        <v/>
      </c>
      <c r="AK16" s="3">
        <f>AK13*Inputs!$E$57*Inputs!$E$58</f>
        <v/>
      </c>
      <c r="AL16" s="3">
        <f>AL13*Inputs!$E$57*Inputs!$E$58</f>
        <v/>
      </c>
      <c r="AM16" s="3">
        <f>AM13*Inputs!$E$57*Inputs!$E$58</f>
        <v/>
      </c>
      <c r="AN16" s="3">
        <f>AN13*Inputs!$E$57*Inputs!$E$58</f>
        <v/>
      </c>
      <c r="AO16" s="3">
        <f>AO13*Inputs!$E$57*Inputs!$E$58</f>
        <v/>
      </c>
      <c r="AP16" s="3">
        <f>AP13*Inputs!$E$57*Inputs!$E$58</f>
        <v/>
      </c>
      <c r="AQ16" s="3">
        <f>AQ13*Inputs!$E$57*Inputs!$E$58</f>
        <v/>
      </c>
      <c r="AR16" s="3">
        <f>AR13*Inputs!$E$57*Inputs!$E$58</f>
        <v/>
      </c>
      <c r="AS16" s="3">
        <f>AS13*Inputs!$E$57*Inputs!$E$58</f>
        <v/>
      </c>
      <c r="AT16" s="3">
        <f>AT13*Inputs!$E$57*Inputs!$E$58</f>
        <v/>
      </c>
      <c r="AU16" s="3">
        <f>AU13*Inputs!$E$57*Inputs!$E$58</f>
        <v/>
      </c>
      <c r="AV16" s="3">
        <f>AV13*Inputs!$E$57*Inputs!$E$58</f>
        <v/>
      </c>
      <c r="AW16" s="3">
        <f>AW13*Inputs!$E$57*Inputs!$E$58</f>
        <v/>
      </c>
      <c r="AX16" s="3">
        <f>AX13*Inputs!$E$57*Inputs!$E$58</f>
        <v/>
      </c>
      <c r="AY16" s="3">
        <f>AY13*Inputs!$E$57*Inputs!$E$58</f>
        <v/>
      </c>
      <c r="AZ16" s="3">
        <f>AZ13*Inputs!$E$57*Inputs!$E$58</f>
        <v/>
      </c>
      <c r="BA16" s="3">
        <f>BA13*Inputs!$E$57*Inputs!$E$58</f>
        <v/>
      </c>
      <c r="BB16" s="3">
        <f>BB13*Inputs!$E$57*Inputs!$E$58</f>
        <v/>
      </c>
      <c r="BC16" s="3">
        <f>BC13*Inputs!$E$57*Inputs!$E$58</f>
        <v/>
      </c>
      <c r="BD16" s="3">
        <f>BD13*Inputs!$E$57*Inputs!$E$58</f>
        <v/>
      </c>
      <c r="BE16" s="3">
        <f>BE13*Inputs!$E$57*Inputs!$E$58</f>
        <v/>
      </c>
      <c r="BF16" s="3">
        <f>BF13*Inputs!$E$57*Inputs!$E$58</f>
        <v/>
      </c>
      <c r="BG16" s="3">
        <f>BG13*Inputs!$E$57*Inputs!$E$58</f>
        <v/>
      </c>
      <c r="BH16" s="3">
        <f>BH13*Inputs!$E$57*Inputs!$E$58</f>
        <v/>
      </c>
      <c r="BI16" s="3">
        <f>BI13*Inputs!$E$57*Inputs!$E$58</f>
        <v/>
      </c>
      <c r="BJ16" s="3">
        <f>BJ13*Inputs!$E$57*Inputs!$E$58</f>
        <v/>
      </c>
    </row>
    <row r="17">
      <c r="A17" t="inlineStr">
        <is>
          <t>Marketing</t>
        </is>
      </c>
      <c r="C17" s="3">
        <f>C14*Inputs!$E$59+IF(C3&lt;=3,Inputs!$E$60/3,0)</f>
        <v/>
      </c>
      <c r="D17" s="3">
        <f>D14*Inputs!$E$59+IF(D3&lt;=3,Inputs!$E$60/3,0)</f>
        <v/>
      </c>
      <c r="E17" s="3">
        <f>E14*Inputs!$E$59+IF(E3&lt;=3,Inputs!$E$60/3,0)</f>
        <v/>
      </c>
      <c r="F17" s="3">
        <f>F14*Inputs!$E$59+IF(F3&lt;=3,Inputs!$E$60/3,0)</f>
        <v/>
      </c>
      <c r="G17" s="3">
        <f>G14*Inputs!$E$59+IF(G3&lt;=3,Inputs!$E$60/3,0)</f>
        <v/>
      </c>
      <c r="H17" s="3">
        <f>H14*Inputs!$E$59+IF(H3&lt;=3,Inputs!$E$60/3,0)</f>
        <v/>
      </c>
      <c r="I17" s="3">
        <f>I14*Inputs!$E$59+IF(I3&lt;=3,Inputs!$E$60/3,0)</f>
        <v/>
      </c>
      <c r="J17" s="3">
        <f>J14*Inputs!$E$59+IF(J3&lt;=3,Inputs!$E$60/3,0)</f>
        <v/>
      </c>
      <c r="K17" s="3">
        <f>K14*Inputs!$E$59+IF(K3&lt;=3,Inputs!$E$60/3,0)</f>
        <v/>
      </c>
      <c r="L17" s="3">
        <f>L14*Inputs!$E$59+IF(L3&lt;=3,Inputs!$E$60/3,0)</f>
        <v/>
      </c>
      <c r="M17" s="3">
        <f>M14*Inputs!$E$59+IF(M3&lt;=3,Inputs!$E$60/3,0)</f>
        <v/>
      </c>
      <c r="N17" s="3">
        <f>N14*Inputs!$E$59+IF(N3&lt;=3,Inputs!$E$60/3,0)</f>
        <v/>
      </c>
      <c r="O17" s="3">
        <f>O14*Inputs!$E$59+IF(O3&lt;=3,Inputs!$E$60/3,0)</f>
        <v/>
      </c>
      <c r="P17" s="3">
        <f>P14*Inputs!$E$59+IF(P3&lt;=3,Inputs!$E$60/3,0)</f>
        <v/>
      </c>
      <c r="Q17" s="3">
        <f>Q14*Inputs!$E$59+IF(Q3&lt;=3,Inputs!$E$60/3,0)</f>
        <v/>
      </c>
      <c r="R17" s="3">
        <f>R14*Inputs!$E$59+IF(R3&lt;=3,Inputs!$E$60/3,0)</f>
        <v/>
      </c>
      <c r="S17" s="3">
        <f>S14*Inputs!$E$59+IF(S3&lt;=3,Inputs!$E$60/3,0)</f>
        <v/>
      </c>
      <c r="T17" s="3">
        <f>T14*Inputs!$E$59+IF(T3&lt;=3,Inputs!$E$60/3,0)</f>
        <v/>
      </c>
      <c r="U17" s="3">
        <f>U14*Inputs!$E$59+IF(U3&lt;=3,Inputs!$E$60/3,0)</f>
        <v/>
      </c>
      <c r="V17" s="3">
        <f>V14*Inputs!$E$59+IF(V3&lt;=3,Inputs!$E$60/3,0)</f>
        <v/>
      </c>
      <c r="W17" s="3">
        <f>W14*Inputs!$E$59+IF(W3&lt;=3,Inputs!$E$60/3,0)</f>
        <v/>
      </c>
      <c r="X17" s="3">
        <f>X14*Inputs!$E$59+IF(X3&lt;=3,Inputs!$E$60/3,0)</f>
        <v/>
      </c>
      <c r="Y17" s="3">
        <f>Y14*Inputs!$E$59+IF(Y3&lt;=3,Inputs!$E$60/3,0)</f>
        <v/>
      </c>
      <c r="Z17" s="3">
        <f>Z14*Inputs!$E$59+IF(Z3&lt;=3,Inputs!$E$60/3,0)</f>
        <v/>
      </c>
      <c r="AA17" s="3">
        <f>AA14*Inputs!$E$59+IF(AA3&lt;=3,Inputs!$E$60/3,0)</f>
        <v/>
      </c>
      <c r="AB17" s="3">
        <f>AB14*Inputs!$E$59+IF(AB3&lt;=3,Inputs!$E$60/3,0)</f>
        <v/>
      </c>
      <c r="AC17" s="3">
        <f>AC14*Inputs!$E$59+IF(AC3&lt;=3,Inputs!$E$60/3,0)</f>
        <v/>
      </c>
      <c r="AD17" s="3">
        <f>AD14*Inputs!$E$59+IF(AD3&lt;=3,Inputs!$E$60/3,0)</f>
        <v/>
      </c>
      <c r="AE17" s="3">
        <f>AE14*Inputs!$E$59+IF(AE3&lt;=3,Inputs!$E$60/3,0)</f>
        <v/>
      </c>
      <c r="AF17" s="3">
        <f>AF14*Inputs!$E$59+IF(AF3&lt;=3,Inputs!$E$60/3,0)</f>
        <v/>
      </c>
      <c r="AG17" s="3">
        <f>AG14*Inputs!$E$59+IF(AG3&lt;=3,Inputs!$E$60/3,0)</f>
        <v/>
      </c>
      <c r="AH17" s="3">
        <f>AH14*Inputs!$E$59+IF(AH3&lt;=3,Inputs!$E$60/3,0)</f>
        <v/>
      </c>
      <c r="AI17" s="3">
        <f>AI14*Inputs!$E$59+IF(AI3&lt;=3,Inputs!$E$60/3,0)</f>
        <v/>
      </c>
      <c r="AJ17" s="3">
        <f>AJ14*Inputs!$E$59+IF(AJ3&lt;=3,Inputs!$E$60/3,0)</f>
        <v/>
      </c>
      <c r="AK17" s="3">
        <f>AK14*Inputs!$E$59+IF(AK3&lt;=3,Inputs!$E$60/3,0)</f>
        <v/>
      </c>
      <c r="AL17" s="3">
        <f>AL14*Inputs!$E$59+IF(AL3&lt;=3,Inputs!$E$60/3,0)</f>
        <v/>
      </c>
      <c r="AM17" s="3">
        <f>AM14*Inputs!$E$59+IF(AM3&lt;=3,Inputs!$E$60/3,0)</f>
        <v/>
      </c>
      <c r="AN17" s="3">
        <f>AN14*Inputs!$E$59+IF(AN3&lt;=3,Inputs!$E$60/3,0)</f>
        <v/>
      </c>
      <c r="AO17" s="3">
        <f>AO14*Inputs!$E$59+IF(AO3&lt;=3,Inputs!$E$60/3,0)</f>
        <v/>
      </c>
      <c r="AP17" s="3">
        <f>AP14*Inputs!$E$59+IF(AP3&lt;=3,Inputs!$E$60/3,0)</f>
        <v/>
      </c>
      <c r="AQ17" s="3">
        <f>AQ14*Inputs!$E$59+IF(AQ3&lt;=3,Inputs!$E$60/3,0)</f>
        <v/>
      </c>
      <c r="AR17" s="3">
        <f>AR14*Inputs!$E$59+IF(AR3&lt;=3,Inputs!$E$60/3,0)</f>
        <v/>
      </c>
      <c r="AS17" s="3">
        <f>AS14*Inputs!$E$59+IF(AS3&lt;=3,Inputs!$E$60/3,0)</f>
        <v/>
      </c>
      <c r="AT17" s="3">
        <f>AT14*Inputs!$E$59+IF(AT3&lt;=3,Inputs!$E$60/3,0)</f>
        <v/>
      </c>
      <c r="AU17" s="3">
        <f>AU14*Inputs!$E$59+IF(AU3&lt;=3,Inputs!$E$60/3,0)</f>
        <v/>
      </c>
      <c r="AV17" s="3">
        <f>AV14*Inputs!$E$59+IF(AV3&lt;=3,Inputs!$E$60/3,0)</f>
        <v/>
      </c>
      <c r="AW17" s="3">
        <f>AW14*Inputs!$E$59+IF(AW3&lt;=3,Inputs!$E$60/3,0)</f>
        <v/>
      </c>
      <c r="AX17" s="3">
        <f>AX14*Inputs!$E$59+IF(AX3&lt;=3,Inputs!$E$60/3,0)</f>
        <v/>
      </c>
      <c r="AY17" s="3">
        <f>AY14*Inputs!$E$59+IF(AY3&lt;=3,Inputs!$E$60/3,0)</f>
        <v/>
      </c>
      <c r="AZ17" s="3">
        <f>AZ14*Inputs!$E$59+IF(AZ3&lt;=3,Inputs!$E$60/3,0)</f>
        <v/>
      </c>
      <c r="BA17" s="3">
        <f>BA14*Inputs!$E$59+IF(BA3&lt;=3,Inputs!$E$60/3,0)</f>
        <v/>
      </c>
      <c r="BB17" s="3">
        <f>BB14*Inputs!$E$59+IF(BB3&lt;=3,Inputs!$E$60/3,0)</f>
        <v/>
      </c>
      <c r="BC17" s="3">
        <f>BC14*Inputs!$E$59+IF(BC3&lt;=3,Inputs!$E$60/3,0)</f>
        <v/>
      </c>
      <c r="BD17" s="3">
        <f>BD14*Inputs!$E$59+IF(BD3&lt;=3,Inputs!$E$60/3,0)</f>
        <v/>
      </c>
      <c r="BE17" s="3">
        <f>BE14*Inputs!$E$59+IF(BE3&lt;=3,Inputs!$E$60/3,0)</f>
        <v/>
      </c>
      <c r="BF17" s="3">
        <f>BF14*Inputs!$E$59+IF(BF3&lt;=3,Inputs!$E$60/3,0)</f>
        <v/>
      </c>
      <c r="BG17" s="3">
        <f>BG14*Inputs!$E$59+IF(BG3&lt;=3,Inputs!$E$60/3,0)</f>
        <v/>
      </c>
      <c r="BH17" s="3">
        <f>BH14*Inputs!$E$59+IF(BH3&lt;=3,Inputs!$E$60/3,0)</f>
        <v/>
      </c>
      <c r="BI17" s="3">
        <f>BI14*Inputs!$E$59+IF(BI3&lt;=3,Inputs!$E$60/3,0)</f>
        <v/>
      </c>
      <c r="BJ17" s="3">
        <f>BJ14*Inputs!$E$59+IF(BJ3&lt;=3,Inputs!$E$60/3,0)</f>
        <v/>
      </c>
    </row>
    <row r="18">
      <c r="A18" t="inlineStr">
        <is>
          <t>Repairs &amp; maintenance</t>
        </is>
      </c>
      <c r="C18" s="3">
        <f>C14*Inputs!$E$61</f>
        <v/>
      </c>
      <c r="D18" s="3">
        <f>D14*Inputs!$E$61</f>
        <v/>
      </c>
      <c r="E18" s="3">
        <f>E14*Inputs!$E$61</f>
        <v/>
      </c>
      <c r="F18" s="3">
        <f>F14*Inputs!$E$61</f>
        <v/>
      </c>
      <c r="G18" s="3">
        <f>G14*Inputs!$E$61</f>
        <v/>
      </c>
      <c r="H18" s="3">
        <f>H14*Inputs!$E$61</f>
        <v/>
      </c>
      <c r="I18" s="3">
        <f>I14*Inputs!$E$61</f>
        <v/>
      </c>
      <c r="J18" s="3">
        <f>J14*Inputs!$E$61</f>
        <v/>
      </c>
      <c r="K18" s="3">
        <f>K14*Inputs!$E$61</f>
        <v/>
      </c>
      <c r="L18" s="3">
        <f>L14*Inputs!$E$61</f>
        <v/>
      </c>
      <c r="M18" s="3">
        <f>M14*Inputs!$E$61</f>
        <v/>
      </c>
      <c r="N18" s="3">
        <f>N14*Inputs!$E$61</f>
        <v/>
      </c>
      <c r="O18" s="3">
        <f>O14*Inputs!$E$61</f>
        <v/>
      </c>
      <c r="P18" s="3">
        <f>P14*Inputs!$E$61</f>
        <v/>
      </c>
      <c r="Q18" s="3">
        <f>Q14*Inputs!$E$61</f>
        <v/>
      </c>
      <c r="R18" s="3">
        <f>R14*Inputs!$E$61</f>
        <v/>
      </c>
      <c r="S18" s="3">
        <f>S14*Inputs!$E$61</f>
        <v/>
      </c>
      <c r="T18" s="3">
        <f>T14*Inputs!$E$61</f>
        <v/>
      </c>
      <c r="U18" s="3">
        <f>U14*Inputs!$E$61</f>
        <v/>
      </c>
      <c r="V18" s="3">
        <f>V14*Inputs!$E$61</f>
        <v/>
      </c>
      <c r="W18" s="3">
        <f>W14*Inputs!$E$61</f>
        <v/>
      </c>
      <c r="X18" s="3">
        <f>X14*Inputs!$E$61</f>
        <v/>
      </c>
      <c r="Y18" s="3">
        <f>Y14*Inputs!$E$61</f>
        <v/>
      </c>
      <c r="Z18" s="3">
        <f>Z14*Inputs!$E$61</f>
        <v/>
      </c>
      <c r="AA18" s="3">
        <f>AA14*Inputs!$E$61</f>
        <v/>
      </c>
      <c r="AB18" s="3">
        <f>AB14*Inputs!$E$61</f>
        <v/>
      </c>
      <c r="AC18" s="3">
        <f>AC14*Inputs!$E$61</f>
        <v/>
      </c>
      <c r="AD18" s="3">
        <f>AD14*Inputs!$E$61</f>
        <v/>
      </c>
      <c r="AE18" s="3">
        <f>AE14*Inputs!$E$61</f>
        <v/>
      </c>
      <c r="AF18" s="3">
        <f>AF14*Inputs!$E$61</f>
        <v/>
      </c>
      <c r="AG18" s="3">
        <f>AG14*Inputs!$E$61</f>
        <v/>
      </c>
      <c r="AH18" s="3">
        <f>AH14*Inputs!$E$61</f>
        <v/>
      </c>
      <c r="AI18" s="3">
        <f>AI14*Inputs!$E$61</f>
        <v/>
      </c>
      <c r="AJ18" s="3">
        <f>AJ14*Inputs!$E$61</f>
        <v/>
      </c>
      <c r="AK18" s="3">
        <f>AK14*Inputs!$E$61</f>
        <v/>
      </c>
      <c r="AL18" s="3">
        <f>AL14*Inputs!$E$61</f>
        <v/>
      </c>
      <c r="AM18" s="3">
        <f>AM14*Inputs!$E$61</f>
        <v/>
      </c>
      <c r="AN18" s="3">
        <f>AN14*Inputs!$E$61</f>
        <v/>
      </c>
      <c r="AO18" s="3">
        <f>AO14*Inputs!$E$61</f>
        <v/>
      </c>
      <c r="AP18" s="3">
        <f>AP14*Inputs!$E$61</f>
        <v/>
      </c>
      <c r="AQ18" s="3">
        <f>AQ14*Inputs!$E$61</f>
        <v/>
      </c>
      <c r="AR18" s="3">
        <f>AR14*Inputs!$E$61</f>
        <v/>
      </c>
      <c r="AS18" s="3">
        <f>AS14*Inputs!$E$61</f>
        <v/>
      </c>
      <c r="AT18" s="3">
        <f>AT14*Inputs!$E$61</f>
        <v/>
      </c>
      <c r="AU18" s="3">
        <f>AU14*Inputs!$E$61</f>
        <v/>
      </c>
      <c r="AV18" s="3">
        <f>AV14*Inputs!$E$61</f>
        <v/>
      </c>
      <c r="AW18" s="3">
        <f>AW14*Inputs!$E$61</f>
        <v/>
      </c>
      <c r="AX18" s="3">
        <f>AX14*Inputs!$E$61</f>
        <v/>
      </c>
      <c r="AY18" s="3">
        <f>AY14*Inputs!$E$61</f>
        <v/>
      </c>
      <c r="AZ18" s="3">
        <f>AZ14*Inputs!$E$61</f>
        <v/>
      </c>
      <c r="BA18" s="3">
        <f>BA14*Inputs!$E$61</f>
        <v/>
      </c>
      <c r="BB18" s="3">
        <f>BB14*Inputs!$E$61</f>
        <v/>
      </c>
      <c r="BC18" s="3">
        <f>BC14*Inputs!$E$61</f>
        <v/>
      </c>
      <c r="BD18" s="3">
        <f>BD14*Inputs!$E$61</f>
        <v/>
      </c>
      <c r="BE18" s="3">
        <f>BE14*Inputs!$E$61</f>
        <v/>
      </c>
      <c r="BF18" s="3">
        <f>BF14*Inputs!$E$61</f>
        <v/>
      </c>
      <c r="BG18" s="3">
        <f>BG14*Inputs!$E$61</f>
        <v/>
      </c>
      <c r="BH18" s="3">
        <f>BH14*Inputs!$E$61</f>
        <v/>
      </c>
      <c r="BI18" s="3">
        <f>BI14*Inputs!$E$61</f>
        <v/>
      </c>
      <c r="BJ18" s="3">
        <f>BJ14*Inputs!$E$61</f>
        <v/>
      </c>
    </row>
    <row r="19">
      <c r="A19" t="inlineStr">
        <is>
          <t>Other variable</t>
        </is>
      </c>
      <c r="C19" s="3">
        <f>C14*Inputs!$E$62</f>
        <v/>
      </c>
      <c r="D19" s="3">
        <f>D14*Inputs!$E$62</f>
        <v/>
      </c>
      <c r="E19" s="3">
        <f>E14*Inputs!$E$62</f>
        <v/>
      </c>
      <c r="F19" s="3">
        <f>F14*Inputs!$E$62</f>
        <v/>
      </c>
      <c r="G19" s="3">
        <f>G14*Inputs!$E$62</f>
        <v/>
      </c>
      <c r="H19" s="3">
        <f>H14*Inputs!$E$62</f>
        <v/>
      </c>
      <c r="I19" s="3">
        <f>I14*Inputs!$E$62</f>
        <v/>
      </c>
      <c r="J19" s="3">
        <f>J14*Inputs!$E$62</f>
        <v/>
      </c>
      <c r="K19" s="3">
        <f>K14*Inputs!$E$62</f>
        <v/>
      </c>
      <c r="L19" s="3">
        <f>L14*Inputs!$E$62</f>
        <v/>
      </c>
      <c r="M19" s="3">
        <f>M14*Inputs!$E$62</f>
        <v/>
      </c>
      <c r="N19" s="3">
        <f>N14*Inputs!$E$62</f>
        <v/>
      </c>
      <c r="O19" s="3">
        <f>O14*Inputs!$E$62</f>
        <v/>
      </c>
      <c r="P19" s="3">
        <f>P14*Inputs!$E$62</f>
        <v/>
      </c>
      <c r="Q19" s="3">
        <f>Q14*Inputs!$E$62</f>
        <v/>
      </c>
      <c r="R19" s="3">
        <f>R14*Inputs!$E$62</f>
        <v/>
      </c>
      <c r="S19" s="3">
        <f>S14*Inputs!$E$62</f>
        <v/>
      </c>
      <c r="T19" s="3">
        <f>T14*Inputs!$E$62</f>
        <v/>
      </c>
      <c r="U19" s="3">
        <f>U14*Inputs!$E$62</f>
        <v/>
      </c>
      <c r="V19" s="3">
        <f>V14*Inputs!$E$62</f>
        <v/>
      </c>
      <c r="W19" s="3">
        <f>W14*Inputs!$E$62</f>
        <v/>
      </c>
      <c r="X19" s="3">
        <f>X14*Inputs!$E$62</f>
        <v/>
      </c>
      <c r="Y19" s="3">
        <f>Y14*Inputs!$E$62</f>
        <v/>
      </c>
      <c r="Z19" s="3">
        <f>Z14*Inputs!$E$62</f>
        <v/>
      </c>
      <c r="AA19" s="3">
        <f>AA14*Inputs!$E$62</f>
        <v/>
      </c>
      <c r="AB19" s="3">
        <f>AB14*Inputs!$E$62</f>
        <v/>
      </c>
      <c r="AC19" s="3">
        <f>AC14*Inputs!$E$62</f>
        <v/>
      </c>
      <c r="AD19" s="3">
        <f>AD14*Inputs!$E$62</f>
        <v/>
      </c>
      <c r="AE19" s="3">
        <f>AE14*Inputs!$E$62</f>
        <v/>
      </c>
      <c r="AF19" s="3">
        <f>AF14*Inputs!$E$62</f>
        <v/>
      </c>
      <c r="AG19" s="3">
        <f>AG14*Inputs!$E$62</f>
        <v/>
      </c>
      <c r="AH19" s="3">
        <f>AH14*Inputs!$E$62</f>
        <v/>
      </c>
      <c r="AI19" s="3">
        <f>AI14*Inputs!$E$62</f>
        <v/>
      </c>
      <c r="AJ19" s="3">
        <f>AJ14*Inputs!$E$62</f>
        <v/>
      </c>
      <c r="AK19" s="3">
        <f>AK14*Inputs!$E$62</f>
        <v/>
      </c>
      <c r="AL19" s="3">
        <f>AL14*Inputs!$E$62</f>
        <v/>
      </c>
      <c r="AM19" s="3">
        <f>AM14*Inputs!$E$62</f>
        <v/>
      </c>
      <c r="AN19" s="3">
        <f>AN14*Inputs!$E$62</f>
        <v/>
      </c>
      <c r="AO19" s="3">
        <f>AO14*Inputs!$E$62</f>
        <v/>
      </c>
      <c r="AP19" s="3">
        <f>AP14*Inputs!$E$62</f>
        <v/>
      </c>
      <c r="AQ19" s="3">
        <f>AQ14*Inputs!$E$62</f>
        <v/>
      </c>
      <c r="AR19" s="3">
        <f>AR14*Inputs!$E$62</f>
        <v/>
      </c>
      <c r="AS19" s="3">
        <f>AS14*Inputs!$E$62</f>
        <v/>
      </c>
      <c r="AT19" s="3">
        <f>AT14*Inputs!$E$62</f>
        <v/>
      </c>
      <c r="AU19" s="3">
        <f>AU14*Inputs!$E$62</f>
        <v/>
      </c>
      <c r="AV19" s="3">
        <f>AV14*Inputs!$E$62</f>
        <v/>
      </c>
      <c r="AW19" s="3">
        <f>AW14*Inputs!$E$62</f>
        <v/>
      </c>
      <c r="AX19" s="3">
        <f>AX14*Inputs!$E$62</f>
        <v/>
      </c>
      <c r="AY19" s="3">
        <f>AY14*Inputs!$E$62</f>
        <v/>
      </c>
      <c r="AZ19" s="3">
        <f>AZ14*Inputs!$E$62</f>
        <v/>
      </c>
      <c r="BA19" s="3">
        <f>BA14*Inputs!$E$62</f>
        <v/>
      </c>
      <c r="BB19" s="3">
        <f>BB14*Inputs!$E$62</f>
        <v/>
      </c>
      <c r="BC19" s="3">
        <f>BC14*Inputs!$E$62</f>
        <v/>
      </c>
      <c r="BD19" s="3">
        <f>BD14*Inputs!$E$62</f>
        <v/>
      </c>
      <c r="BE19" s="3">
        <f>BE14*Inputs!$E$62</f>
        <v/>
      </c>
      <c r="BF19" s="3">
        <f>BF14*Inputs!$E$62</f>
        <v/>
      </c>
      <c r="BG19" s="3">
        <f>BG14*Inputs!$E$62</f>
        <v/>
      </c>
      <c r="BH19" s="3">
        <f>BH14*Inputs!$E$62</f>
        <v/>
      </c>
      <c r="BI19" s="3">
        <f>BI14*Inputs!$E$62</f>
        <v/>
      </c>
      <c r="BJ19" s="3">
        <f>BJ14*Inputs!$E$62</f>
        <v/>
      </c>
    </row>
    <row r="20">
      <c r="A20" t="inlineStr">
        <is>
          <t>Utilities</t>
        </is>
      </c>
      <c r="C20" s="3">
        <f>INDEX(Inputs!$D$80:$F$80,1,Inputs!$E$13)*(1+Inputs!$E$70)^(C4-1)+C14*Inputs!$E$63</f>
        <v/>
      </c>
      <c r="D20" s="3">
        <f>INDEX(Inputs!$D$80:$F$80,1,Inputs!$E$13)*(1+Inputs!$E$70)^(D4-1)+D14*Inputs!$E$63</f>
        <v/>
      </c>
      <c r="E20" s="3">
        <f>INDEX(Inputs!$D$80:$F$80,1,Inputs!$E$13)*(1+Inputs!$E$70)^(E4-1)+E14*Inputs!$E$63</f>
        <v/>
      </c>
      <c r="F20" s="3">
        <f>INDEX(Inputs!$D$80:$F$80,1,Inputs!$E$13)*(1+Inputs!$E$70)^(F4-1)+F14*Inputs!$E$63</f>
        <v/>
      </c>
      <c r="G20" s="3">
        <f>INDEX(Inputs!$D$80:$F$80,1,Inputs!$E$13)*(1+Inputs!$E$70)^(G4-1)+G14*Inputs!$E$63</f>
        <v/>
      </c>
      <c r="H20" s="3">
        <f>INDEX(Inputs!$D$80:$F$80,1,Inputs!$E$13)*(1+Inputs!$E$70)^(H4-1)+H14*Inputs!$E$63</f>
        <v/>
      </c>
      <c r="I20" s="3">
        <f>INDEX(Inputs!$D$80:$F$80,1,Inputs!$E$13)*(1+Inputs!$E$70)^(I4-1)+I14*Inputs!$E$63</f>
        <v/>
      </c>
      <c r="J20" s="3">
        <f>INDEX(Inputs!$D$80:$F$80,1,Inputs!$E$13)*(1+Inputs!$E$70)^(J4-1)+J14*Inputs!$E$63</f>
        <v/>
      </c>
      <c r="K20" s="3">
        <f>INDEX(Inputs!$D$80:$F$80,1,Inputs!$E$13)*(1+Inputs!$E$70)^(K4-1)+K14*Inputs!$E$63</f>
        <v/>
      </c>
      <c r="L20" s="3">
        <f>INDEX(Inputs!$D$80:$F$80,1,Inputs!$E$13)*(1+Inputs!$E$70)^(L4-1)+L14*Inputs!$E$63</f>
        <v/>
      </c>
      <c r="M20" s="3">
        <f>INDEX(Inputs!$D$80:$F$80,1,Inputs!$E$13)*(1+Inputs!$E$70)^(M4-1)+M14*Inputs!$E$63</f>
        <v/>
      </c>
      <c r="N20" s="3">
        <f>INDEX(Inputs!$D$80:$F$80,1,Inputs!$E$13)*(1+Inputs!$E$70)^(N4-1)+N14*Inputs!$E$63</f>
        <v/>
      </c>
      <c r="O20" s="3">
        <f>INDEX(Inputs!$D$80:$F$80,1,Inputs!$E$13)*(1+Inputs!$E$70)^(O4-1)+O14*Inputs!$E$63</f>
        <v/>
      </c>
      <c r="P20" s="3">
        <f>INDEX(Inputs!$D$80:$F$80,1,Inputs!$E$13)*(1+Inputs!$E$70)^(P4-1)+P14*Inputs!$E$63</f>
        <v/>
      </c>
      <c r="Q20" s="3">
        <f>INDEX(Inputs!$D$80:$F$80,1,Inputs!$E$13)*(1+Inputs!$E$70)^(Q4-1)+Q14*Inputs!$E$63</f>
        <v/>
      </c>
      <c r="R20" s="3">
        <f>INDEX(Inputs!$D$80:$F$80,1,Inputs!$E$13)*(1+Inputs!$E$70)^(R4-1)+R14*Inputs!$E$63</f>
        <v/>
      </c>
      <c r="S20" s="3">
        <f>INDEX(Inputs!$D$80:$F$80,1,Inputs!$E$13)*(1+Inputs!$E$70)^(S4-1)+S14*Inputs!$E$63</f>
        <v/>
      </c>
      <c r="T20" s="3">
        <f>INDEX(Inputs!$D$80:$F$80,1,Inputs!$E$13)*(1+Inputs!$E$70)^(T4-1)+T14*Inputs!$E$63</f>
        <v/>
      </c>
      <c r="U20" s="3">
        <f>INDEX(Inputs!$D$80:$F$80,1,Inputs!$E$13)*(1+Inputs!$E$70)^(U4-1)+U14*Inputs!$E$63</f>
        <v/>
      </c>
      <c r="V20" s="3">
        <f>INDEX(Inputs!$D$80:$F$80,1,Inputs!$E$13)*(1+Inputs!$E$70)^(V4-1)+V14*Inputs!$E$63</f>
        <v/>
      </c>
      <c r="W20" s="3">
        <f>INDEX(Inputs!$D$80:$F$80,1,Inputs!$E$13)*(1+Inputs!$E$70)^(W4-1)+W14*Inputs!$E$63</f>
        <v/>
      </c>
      <c r="X20" s="3">
        <f>INDEX(Inputs!$D$80:$F$80,1,Inputs!$E$13)*(1+Inputs!$E$70)^(X4-1)+X14*Inputs!$E$63</f>
        <v/>
      </c>
      <c r="Y20" s="3">
        <f>INDEX(Inputs!$D$80:$F$80,1,Inputs!$E$13)*(1+Inputs!$E$70)^(Y4-1)+Y14*Inputs!$E$63</f>
        <v/>
      </c>
      <c r="Z20" s="3">
        <f>INDEX(Inputs!$D$80:$F$80,1,Inputs!$E$13)*(1+Inputs!$E$70)^(Z4-1)+Z14*Inputs!$E$63</f>
        <v/>
      </c>
      <c r="AA20" s="3">
        <f>INDEX(Inputs!$D$80:$F$80,1,Inputs!$E$13)*(1+Inputs!$E$70)^(AA4-1)+AA14*Inputs!$E$63</f>
        <v/>
      </c>
      <c r="AB20" s="3">
        <f>INDEX(Inputs!$D$80:$F$80,1,Inputs!$E$13)*(1+Inputs!$E$70)^(AB4-1)+AB14*Inputs!$E$63</f>
        <v/>
      </c>
      <c r="AC20" s="3">
        <f>INDEX(Inputs!$D$80:$F$80,1,Inputs!$E$13)*(1+Inputs!$E$70)^(AC4-1)+AC14*Inputs!$E$63</f>
        <v/>
      </c>
      <c r="AD20" s="3">
        <f>INDEX(Inputs!$D$80:$F$80,1,Inputs!$E$13)*(1+Inputs!$E$70)^(AD4-1)+AD14*Inputs!$E$63</f>
        <v/>
      </c>
      <c r="AE20" s="3">
        <f>INDEX(Inputs!$D$80:$F$80,1,Inputs!$E$13)*(1+Inputs!$E$70)^(AE4-1)+AE14*Inputs!$E$63</f>
        <v/>
      </c>
      <c r="AF20" s="3">
        <f>INDEX(Inputs!$D$80:$F$80,1,Inputs!$E$13)*(1+Inputs!$E$70)^(AF4-1)+AF14*Inputs!$E$63</f>
        <v/>
      </c>
      <c r="AG20" s="3">
        <f>INDEX(Inputs!$D$80:$F$80,1,Inputs!$E$13)*(1+Inputs!$E$70)^(AG4-1)+AG14*Inputs!$E$63</f>
        <v/>
      </c>
      <c r="AH20" s="3">
        <f>INDEX(Inputs!$D$80:$F$80,1,Inputs!$E$13)*(1+Inputs!$E$70)^(AH4-1)+AH14*Inputs!$E$63</f>
        <v/>
      </c>
      <c r="AI20" s="3">
        <f>INDEX(Inputs!$D$80:$F$80,1,Inputs!$E$13)*(1+Inputs!$E$70)^(AI4-1)+AI14*Inputs!$E$63</f>
        <v/>
      </c>
      <c r="AJ20" s="3">
        <f>INDEX(Inputs!$D$80:$F$80,1,Inputs!$E$13)*(1+Inputs!$E$70)^(AJ4-1)+AJ14*Inputs!$E$63</f>
        <v/>
      </c>
      <c r="AK20" s="3">
        <f>INDEX(Inputs!$D$80:$F$80,1,Inputs!$E$13)*(1+Inputs!$E$70)^(AK4-1)+AK14*Inputs!$E$63</f>
        <v/>
      </c>
      <c r="AL20" s="3">
        <f>INDEX(Inputs!$D$80:$F$80,1,Inputs!$E$13)*(1+Inputs!$E$70)^(AL4-1)+AL14*Inputs!$E$63</f>
        <v/>
      </c>
      <c r="AM20" s="3">
        <f>INDEX(Inputs!$D$80:$F$80,1,Inputs!$E$13)*(1+Inputs!$E$70)^(AM4-1)+AM14*Inputs!$E$63</f>
        <v/>
      </c>
      <c r="AN20" s="3">
        <f>INDEX(Inputs!$D$80:$F$80,1,Inputs!$E$13)*(1+Inputs!$E$70)^(AN4-1)+AN14*Inputs!$E$63</f>
        <v/>
      </c>
      <c r="AO20" s="3">
        <f>INDEX(Inputs!$D$80:$F$80,1,Inputs!$E$13)*(1+Inputs!$E$70)^(AO4-1)+AO14*Inputs!$E$63</f>
        <v/>
      </c>
      <c r="AP20" s="3">
        <f>INDEX(Inputs!$D$80:$F$80,1,Inputs!$E$13)*(1+Inputs!$E$70)^(AP4-1)+AP14*Inputs!$E$63</f>
        <v/>
      </c>
      <c r="AQ20" s="3">
        <f>INDEX(Inputs!$D$80:$F$80,1,Inputs!$E$13)*(1+Inputs!$E$70)^(AQ4-1)+AQ14*Inputs!$E$63</f>
        <v/>
      </c>
      <c r="AR20" s="3">
        <f>INDEX(Inputs!$D$80:$F$80,1,Inputs!$E$13)*(1+Inputs!$E$70)^(AR4-1)+AR14*Inputs!$E$63</f>
        <v/>
      </c>
      <c r="AS20" s="3">
        <f>INDEX(Inputs!$D$80:$F$80,1,Inputs!$E$13)*(1+Inputs!$E$70)^(AS4-1)+AS14*Inputs!$E$63</f>
        <v/>
      </c>
      <c r="AT20" s="3">
        <f>INDEX(Inputs!$D$80:$F$80,1,Inputs!$E$13)*(1+Inputs!$E$70)^(AT4-1)+AT14*Inputs!$E$63</f>
        <v/>
      </c>
      <c r="AU20" s="3">
        <f>INDEX(Inputs!$D$80:$F$80,1,Inputs!$E$13)*(1+Inputs!$E$70)^(AU4-1)+AU14*Inputs!$E$63</f>
        <v/>
      </c>
      <c r="AV20" s="3">
        <f>INDEX(Inputs!$D$80:$F$80,1,Inputs!$E$13)*(1+Inputs!$E$70)^(AV4-1)+AV14*Inputs!$E$63</f>
        <v/>
      </c>
      <c r="AW20" s="3">
        <f>INDEX(Inputs!$D$80:$F$80,1,Inputs!$E$13)*(1+Inputs!$E$70)^(AW4-1)+AW14*Inputs!$E$63</f>
        <v/>
      </c>
      <c r="AX20" s="3">
        <f>INDEX(Inputs!$D$80:$F$80,1,Inputs!$E$13)*(1+Inputs!$E$70)^(AX4-1)+AX14*Inputs!$E$63</f>
        <v/>
      </c>
      <c r="AY20" s="3">
        <f>INDEX(Inputs!$D$80:$F$80,1,Inputs!$E$13)*(1+Inputs!$E$70)^(AY4-1)+AY14*Inputs!$E$63</f>
        <v/>
      </c>
      <c r="AZ20" s="3">
        <f>INDEX(Inputs!$D$80:$F$80,1,Inputs!$E$13)*(1+Inputs!$E$70)^(AZ4-1)+AZ14*Inputs!$E$63</f>
        <v/>
      </c>
      <c r="BA20" s="3">
        <f>INDEX(Inputs!$D$80:$F$80,1,Inputs!$E$13)*(1+Inputs!$E$70)^(BA4-1)+BA14*Inputs!$E$63</f>
        <v/>
      </c>
      <c r="BB20" s="3">
        <f>INDEX(Inputs!$D$80:$F$80,1,Inputs!$E$13)*(1+Inputs!$E$70)^(BB4-1)+BB14*Inputs!$E$63</f>
        <v/>
      </c>
      <c r="BC20" s="3">
        <f>INDEX(Inputs!$D$80:$F$80,1,Inputs!$E$13)*(1+Inputs!$E$70)^(BC4-1)+BC14*Inputs!$E$63</f>
        <v/>
      </c>
      <c r="BD20" s="3">
        <f>INDEX(Inputs!$D$80:$F$80,1,Inputs!$E$13)*(1+Inputs!$E$70)^(BD4-1)+BD14*Inputs!$E$63</f>
        <v/>
      </c>
      <c r="BE20" s="3">
        <f>INDEX(Inputs!$D$80:$F$80,1,Inputs!$E$13)*(1+Inputs!$E$70)^(BE4-1)+BE14*Inputs!$E$63</f>
        <v/>
      </c>
      <c r="BF20" s="3">
        <f>INDEX(Inputs!$D$80:$F$80,1,Inputs!$E$13)*(1+Inputs!$E$70)^(BF4-1)+BF14*Inputs!$E$63</f>
        <v/>
      </c>
      <c r="BG20" s="3">
        <f>INDEX(Inputs!$D$80:$F$80,1,Inputs!$E$13)*(1+Inputs!$E$70)^(BG4-1)+BG14*Inputs!$E$63</f>
        <v/>
      </c>
      <c r="BH20" s="3">
        <f>INDEX(Inputs!$D$80:$F$80,1,Inputs!$E$13)*(1+Inputs!$E$70)^(BH4-1)+BH14*Inputs!$E$63</f>
        <v/>
      </c>
      <c r="BI20" s="3">
        <f>INDEX(Inputs!$D$80:$F$80,1,Inputs!$E$13)*(1+Inputs!$E$70)^(BI4-1)+BI14*Inputs!$E$63</f>
        <v/>
      </c>
      <c r="BJ20" s="3">
        <f>INDEX(Inputs!$D$80:$F$80,1,Inputs!$E$13)*(1+Inputs!$E$70)^(BJ4-1)+BJ14*Inputs!$E$63</f>
        <v/>
      </c>
    </row>
    <row r="21">
      <c r="A21" t="inlineStr">
        <is>
          <t>Peak-season flag</t>
        </is>
      </c>
      <c r="C21" s="7">
        <f>IF(C7&gt;=Inputs!$E$69,1,0)</f>
        <v/>
      </c>
      <c r="D21" s="7">
        <f>IF(D7&gt;=Inputs!$E$69,1,0)</f>
        <v/>
      </c>
      <c r="E21" s="7">
        <f>IF(E7&gt;=Inputs!$E$69,1,0)</f>
        <v/>
      </c>
      <c r="F21" s="7">
        <f>IF(F7&gt;=Inputs!$E$69,1,0)</f>
        <v/>
      </c>
      <c r="G21" s="7">
        <f>IF(G7&gt;=Inputs!$E$69,1,0)</f>
        <v/>
      </c>
      <c r="H21" s="7">
        <f>IF(H7&gt;=Inputs!$E$69,1,0)</f>
        <v/>
      </c>
      <c r="I21" s="7">
        <f>IF(I7&gt;=Inputs!$E$69,1,0)</f>
        <v/>
      </c>
      <c r="J21" s="7">
        <f>IF(J7&gt;=Inputs!$E$69,1,0)</f>
        <v/>
      </c>
      <c r="K21" s="7">
        <f>IF(K7&gt;=Inputs!$E$69,1,0)</f>
        <v/>
      </c>
      <c r="L21" s="7">
        <f>IF(L7&gt;=Inputs!$E$69,1,0)</f>
        <v/>
      </c>
      <c r="M21" s="7">
        <f>IF(M7&gt;=Inputs!$E$69,1,0)</f>
        <v/>
      </c>
      <c r="N21" s="7">
        <f>IF(N7&gt;=Inputs!$E$69,1,0)</f>
        <v/>
      </c>
      <c r="O21" s="7">
        <f>IF(O7&gt;=Inputs!$E$69,1,0)</f>
        <v/>
      </c>
      <c r="P21" s="7">
        <f>IF(P7&gt;=Inputs!$E$69,1,0)</f>
        <v/>
      </c>
      <c r="Q21" s="7">
        <f>IF(Q7&gt;=Inputs!$E$69,1,0)</f>
        <v/>
      </c>
      <c r="R21" s="7">
        <f>IF(R7&gt;=Inputs!$E$69,1,0)</f>
        <v/>
      </c>
      <c r="S21" s="7">
        <f>IF(S7&gt;=Inputs!$E$69,1,0)</f>
        <v/>
      </c>
      <c r="T21" s="7">
        <f>IF(T7&gt;=Inputs!$E$69,1,0)</f>
        <v/>
      </c>
      <c r="U21" s="7">
        <f>IF(U7&gt;=Inputs!$E$69,1,0)</f>
        <v/>
      </c>
      <c r="V21" s="7">
        <f>IF(V7&gt;=Inputs!$E$69,1,0)</f>
        <v/>
      </c>
      <c r="W21" s="7">
        <f>IF(W7&gt;=Inputs!$E$69,1,0)</f>
        <v/>
      </c>
      <c r="X21" s="7">
        <f>IF(X7&gt;=Inputs!$E$69,1,0)</f>
        <v/>
      </c>
      <c r="Y21" s="7">
        <f>IF(Y7&gt;=Inputs!$E$69,1,0)</f>
        <v/>
      </c>
      <c r="Z21" s="7">
        <f>IF(Z7&gt;=Inputs!$E$69,1,0)</f>
        <v/>
      </c>
      <c r="AA21" s="7">
        <f>IF(AA7&gt;=Inputs!$E$69,1,0)</f>
        <v/>
      </c>
      <c r="AB21" s="7">
        <f>IF(AB7&gt;=Inputs!$E$69,1,0)</f>
        <v/>
      </c>
      <c r="AC21" s="7">
        <f>IF(AC7&gt;=Inputs!$E$69,1,0)</f>
        <v/>
      </c>
      <c r="AD21" s="7">
        <f>IF(AD7&gt;=Inputs!$E$69,1,0)</f>
        <v/>
      </c>
      <c r="AE21" s="7">
        <f>IF(AE7&gt;=Inputs!$E$69,1,0)</f>
        <v/>
      </c>
      <c r="AF21" s="7">
        <f>IF(AF7&gt;=Inputs!$E$69,1,0)</f>
        <v/>
      </c>
      <c r="AG21" s="7">
        <f>IF(AG7&gt;=Inputs!$E$69,1,0)</f>
        <v/>
      </c>
      <c r="AH21" s="7">
        <f>IF(AH7&gt;=Inputs!$E$69,1,0)</f>
        <v/>
      </c>
      <c r="AI21" s="7">
        <f>IF(AI7&gt;=Inputs!$E$69,1,0)</f>
        <v/>
      </c>
      <c r="AJ21" s="7">
        <f>IF(AJ7&gt;=Inputs!$E$69,1,0)</f>
        <v/>
      </c>
      <c r="AK21" s="7">
        <f>IF(AK7&gt;=Inputs!$E$69,1,0)</f>
        <v/>
      </c>
      <c r="AL21" s="7">
        <f>IF(AL7&gt;=Inputs!$E$69,1,0)</f>
        <v/>
      </c>
      <c r="AM21" s="7">
        <f>IF(AM7&gt;=Inputs!$E$69,1,0)</f>
        <v/>
      </c>
      <c r="AN21" s="7">
        <f>IF(AN7&gt;=Inputs!$E$69,1,0)</f>
        <v/>
      </c>
      <c r="AO21" s="7">
        <f>IF(AO7&gt;=Inputs!$E$69,1,0)</f>
        <v/>
      </c>
      <c r="AP21" s="7">
        <f>IF(AP7&gt;=Inputs!$E$69,1,0)</f>
        <v/>
      </c>
      <c r="AQ21" s="7">
        <f>IF(AQ7&gt;=Inputs!$E$69,1,0)</f>
        <v/>
      </c>
      <c r="AR21" s="7">
        <f>IF(AR7&gt;=Inputs!$E$69,1,0)</f>
        <v/>
      </c>
      <c r="AS21" s="7">
        <f>IF(AS7&gt;=Inputs!$E$69,1,0)</f>
        <v/>
      </c>
      <c r="AT21" s="7">
        <f>IF(AT7&gt;=Inputs!$E$69,1,0)</f>
        <v/>
      </c>
      <c r="AU21" s="7">
        <f>IF(AU7&gt;=Inputs!$E$69,1,0)</f>
        <v/>
      </c>
      <c r="AV21" s="7">
        <f>IF(AV7&gt;=Inputs!$E$69,1,0)</f>
        <v/>
      </c>
      <c r="AW21" s="7">
        <f>IF(AW7&gt;=Inputs!$E$69,1,0)</f>
        <v/>
      </c>
      <c r="AX21" s="7">
        <f>IF(AX7&gt;=Inputs!$E$69,1,0)</f>
        <v/>
      </c>
      <c r="AY21" s="7">
        <f>IF(AY7&gt;=Inputs!$E$69,1,0)</f>
        <v/>
      </c>
      <c r="AZ21" s="7">
        <f>IF(AZ7&gt;=Inputs!$E$69,1,0)</f>
        <v/>
      </c>
      <c r="BA21" s="7">
        <f>IF(BA7&gt;=Inputs!$E$69,1,0)</f>
        <v/>
      </c>
      <c r="BB21" s="7">
        <f>IF(BB7&gt;=Inputs!$E$69,1,0)</f>
        <v/>
      </c>
      <c r="BC21" s="7">
        <f>IF(BC7&gt;=Inputs!$E$69,1,0)</f>
        <v/>
      </c>
      <c r="BD21" s="7">
        <f>IF(BD7&gt;=Inputs!$E$69,1,0)</f>
        <v/>
      </c>
      <c r="BE21" s="7">
        <f>IF(BE7&gt;=Inputs!$E$69,1,0)</f>
        <v/>
      </c>
      <c r="BF21" s="7">
        <f>IF(BF7&gt;=Inputs!$E$69,1,0)</f>
        <v/>
      </c>
      <c r="BG21" s="7">
        <f>IF(BG7&gt;=Inputs!$E$69,1,0)</f>
        <v/>
      </c>
      <c r="BH21" s="7">
        <f>IF(BH7&gt;=Inputs!$E$69,1,0)</f>
        <v/>
      </c>
      <c r="BI21" s="7">
        <f>IF(BI7&gt;=Inputs!$E$69,1,0)</f>
        <v/>
      </c>
      <c r="BJ21" s="7">
        <f>IF(BJ7&gt;=Inputs!$E$69,1,0)</f>
        <v/>
      </c>
    </row>
    <row r="22">
      <c r="A22" t="inlineStr">
        <is>
          <t>FTE</t>
        </is>
      </c>
      <c r="C22" s="24">
        <f>INDEX(Inputs!$D$76:$F$76,1,Inputs!$E$13)+C21*INDEX(Inputs!$D$77:$F$77,1,Inputs!$E$13)</f>
        <v/>
      </c>
      <c r="D22" s="24">
        <f>INDEX(Inputs!$D$76:$F$76,1,Inputs!$E$13)+D21*INDEX(Inputs!$D$77:$F$77,1,Inputs!$E$13)</f>
        <v/>
      </c>
      <c r="E22" s="24">
        <f>INDEX(Inputs!$D$76:$F$76,1,Inputs!$E$13)+E21*INDEX(Inputs!$D$77:$F$77,1,Inputs!$E$13)</f>
        <v/>
      </c>
      <c r="F22" s="24">
        <f>INDEX(Inputs!$D$76:$F$76,1,Inputs!$E$13)+F21*INDEX(Inputs!$D$77:$F$77,1,Inputs!$E$13)</f>
        <v/>
      </c>
      <c r="G22" s="24">
        <f>INDEX(Inputs!$D$76:$F$76,1,Inputs!$E$13)+G21*INDEX(Inputs!$D$77:$F$77,1,Inputs!$E$13)</f>
        <v/>
      </c>
      <c r="H22" s="24">
        <f>INDEX(Inputs!$D$76:$F$76,1,Inputs!$E$13)+H21*INDEX(Inputs!$D$77:$F$77,1,Inputs!$E$13)</f>
        <v/>
      </c>
      <c r="I22" s="24">
        <f>INDEX(Inputs!$D$76:$F$76,1,Inputs!$E$13)+I21*INDEX(Inputs!$D$77:$F$77,1,Inputs!$E$13)</f>
        <v/>
      </c>
      <c r="J22" s="24">
        <f>INDEX(Inputs!$D$76:$F$76,1,Inputs!$E$13)+J21*INDEX(Inputs!$D$77:$F$77,1,Inputs!$E$13)</f>
        <v/>
      </c>
      <c r="K22" s="24">
        <f>INDEX(Inputs!$D$76:$F$76,1,Inputs!$E$13)+K21*INDEX(Inputs!$D$77:$F$77,1,Inputs!$E$13)</f>
        <v/>
      </c>
      <c r="L22" s="24">
        <f>INDEX(Inputs!$D$76:$F$76,1,Inputs!$E$13)+L21*INDEX(Inputs!$D$77:$F$77,1,Inputs!$E$13)</f>
        <v/>
      </c>
      <c r="M22" s="24">
        <f>INDEX(Inputs!$D$76:$F$76,1,Inputs!$E$13)+M21*INDEX(Inputs!$D$77:$F$77,1,Inputs!$E$13)</f>
        <v/>
      </c>
      <c r="N22" s="24">
        <f>INDEX(Inputs!$D$76:$F$76,1,Inputs!$E$13)+N21*INDEX(Inputs!$D$77:$F$77,1,Inputs!$E$13)</f>
        <v/>
      </c>
      <c r="O22" s="24">
        <f>INDEX(Inputs!$D$76:$F$76,1,Inputs!$E$13)+O21*INDEX(Inputs!$D$77:$F$77,1,Inputs!$E$13)</f>
        <v/>
      </c>
      <c r="P22" s="24">
        <f>INDEX(Inputs!$D$76:$F$76,1,Inputs!$E$13)+P21*INDEX(Inputs!$D$77:$F$77,1,Inputs!$E$13)</f>
        <v/>
      </c>
      <c r="Q22" s="24">
        <f>INDEX(Inputs!$D$76:$F$76,1,Inputs!$E$13)+Q21*INDEX(Inputs!$D$77:$F$77,1,Inputs!$E$13)</f>
        <v/>
      </c>
      <c r="R22" s="24">
        <f>INDEX(Inputs!$D$76:$F$76,1,Inputs!$E$13)+R21*INDEX(Inputs!$D$77:$F$77,1,Inputs!$E$13)</f>
        <v/>
      </c>
      <c r="S22" s="24">
        <f>INDEX(Inputs!$D$76:$F$76,1,Inputs!$E$13)+S21*INDEX(Inputs!$D$77:$F$77,1,Inputs!$E$13)</f>
        <v/>
      </c>
      <c r="T22" s="24">
        <f>INDEX(Inputs!$D$76:$F$76,1,Inputs!$E$13)+T21*INDEX(Inputs!$D$77:$F$77,1,Inputs!$E$13)</f>
        <v/>
      </c>
      <c r="U22" s="24">
        <f>INDEX(Inputs!$D$76:$F$76,1,Inputs!$E$13)+U21*INDEX(Inputs!$D$77:$F$77,1,Inputs!$E$13)</f>
        <v/>
      </c>
      <c r="V22" s="24">
        <f>INDEX(Inputs!$D$76:$F$76,1,Inputs!$E$13)+V21*INDEX(Inputs!$D$77:$F$77,1,Inputs!$E$13)</f>
        <v/>
      </c>
      <c r="W22" s="24">
        <f>INDEX(Inputs!$D$76:$F$76,1,Inputs!$E$13)+W21*INDEX(Inputs!$D$77:$F$77,1,Inputs!$E$13)</f>
        <v/>
      </c>
      <c r="X22" s="24">
        <f>INDEX(Inputs!$D$76:$F$76,1,Inputs!$E$13)+X21*INDEX(Inputs!$D$77:$F$77,1,Inputs!$E$13)</f>
        <v/>
      </c>
      <c r="Y22" s="24">
        <f>INDEX(Inputs!$D$76:$F$76,1,Inputs!$E$13)+Y21*INDEX(Inputs!$D$77:$F$77,1,Inputs!$E$13)</f>
        <v/>
      </c>
      <c r="Z22" s="24">
        <f>INDEX(Inputs!$D$76:$F$76,1,Inputs!$E$13)+Z21*INDEX(Inputs!$D$77:$F$77,1,Inputs!$E$13)</f>
        <v/>
      </c>
      <c r="AA22" s="24">
        <f>INDEX(Inputs!$D$76:$F$76,1,Inputs!$E$13)+AA21*INDEX(Inputs!$D$77:$F$77,1,Inputs!$E$13)</f>
        <v/>
      </c>
      <c r="AB22" s="24">
        <f>INDEX(Inputs!$D$76:$F$76,1,Inputs!$E$13)+AB21*INDEX(Inputs!$D$77:$F$77,1,Inputs!$E$13)</f>
        <v/>
      </c>
      <c r="AC22" s="24">
        <f>INDEX(Inputs!$D$76:$F$76,1,Inputs!$E$13)+AC21*INDEX(Inputs!$D$77:$F$77,1,Inputs!$E$13)</f>
        <v/>
      </c>
      <c r="AD22" s="24">
        <f>INDEX(Inputs!$D$76:$F$76,1,Inputs!$E$13)+AD21*INDEX(Inputs!$D$77:$F$77,1,Inputs!$E$13)</f>
        <v/>
      </c>
      <c r="AE22" s="24">
        <f>INDEX(Inputs!$D$76:$F$76,1,Inputs!$E$13)+AE21*INDEX(Inputs!$D$77:$F$77,1,Inputs!$E$13)</f>
        <v/>
      </c>
      <c r="AF22" s="24">
        <f>INDEX(Inputs!$D$76:$F$76,1,Inputs!$E$13)+AF21*INDEX(Inputs!$D$77:$F$77,1,Inputs!$E$13)</f>
        <v/>
      </c>
      <c r="AG22" s="24">
        <f>INDEX(Inputs!$D$76:$F$76,1,Inputs!$E$13)+AG21*INDEX(Inputs!$D$77:$F$77,1,Inputs!$E$13)</f>
        <v/>
      </c>
      <c r="AH22" s="24">
        <f>INDEX(Inputs!$D$76:$F$76,1,Inputs!$E$13)+AH21*INDEX(Inputs!$D$77:$F$77,1,Inputs!$E$13)</f>
        <v/>
      </c>
      <c r="AI22" s="24">
        <f>INDEX(Inputs!$D$76:$F$76,1,Inputs!$E$13)+AI21*INDEX(Inputs!$D$77:$F$77,1,Inputs!$E$13)</f>
        <v/>
      </c>
      <c r="AJ22" s="24">
        <f>INDEX(Inputs!$D$76:$F$76,1,Inputs!$E$13)+AJ21*INDEX(Inputs!$D$77:$F$77,1,Inputs!$E$13)</f>
        <v/>
      </c>
      <c r="AK22" s="24">
        <f>INDEX(Inputs!$D$76:$F$76,1,Inputs!$E$13)+AK21*INDEX(Inputs!$D$77:$F$77,1,Inputs!$E$13)</f>
        <v/>
      </c>
      <c r="AL22" s="24">
        <f>INDEX(Inputs!$D$76:$F$76,1,Inputs!$E$13)+AL21*INDEX(Inputs!$D$77:$F$77,1,Inputs!$E$13)</f>
        <v/>
      </c>
      <c r="AM22" s="24">
        <f>INDEX(Inputs!$D$76:$F$76,1,Inputs!$E$13)+AM21*INDEX(Inputs!$D$77:$F$77,1,Inputs!$E$13)</f>
        <v/>
      </c>
      <c r="AN22" s="24">
        <f>INDEX(Inputs!$D$76:$F$76,1,Inputs!$E$13)+AN21*INDEX(Inputs!$D$77:$F$77,1,Inputs!$E$13)</f>
        <v/>
      </c>
      <c r="AO22" s="24">
        <f>INDEX(Inputs!$D$76:$F$76,1,Inputs!$E$13)+AO21*INDEX(Inputs!$D$77:$F$77,1,Inputs!$E$13)</f>
        <v/>
      </c>
      <c r="AP22" s="24">
        <f>INDEX(Inputs!$D$76:$F$76,1,Inputs!$E$13)+AP21*INDEX(Inputs!$D$77:$F$77,1,Inputs!$E$13)</f>
        <v/>
      </c>
      <c r="AQ22" s="24">
        <f>INDEX(Inputs!$D$76:$F$76,1,Inputs!$E$13)+AQ21*INDEX(Inputs!$D$77:$F$77,1,Inputs!$E$13)</f>
        <v/>
      </c>
      <c r="AR22" s="24">
        <f>INDEX(Inputs!$D$76:$F$76,1,Inputs!$E$13)+AR21*INDEX(Inputs!$D$77:$F$77,1,Inputs!$E$13)</f>
        <v/>
      </c>
      <c r="AS22" s="24">
        <f>INDEX(Inputs!$D$76:$F$76,1,Inputs!$E$13)+AS21*INDEX(Inputs!$D$77:$F$77,1,Inputs!$E$13)</f>
        <v/>
      </c>
      <c r="AT22" s="24">
        <f>INDEX(Inputs!$D$76:$F$76,1,Inputs!$E$13)+AT21*INDEX(Inputs!$D$77:$F$77,1,Inputs!$E$13)</f>
        <v/>
      </c>
      <c r="AU22" s="24">
        <f>INDEX(Inputs!$D$76:$F$76,1,Inputs!$E$13)+AU21*INDEX(Inputs!$D$77:$F$77,1,Inputs!$E$13)</f>
        <v/>
      </c>
      <c r="AV22" s="24">
        <f>INDEX(Inputs!$D$76:$F$76,1,Inputs!$E$13)+AV21*INDEX(Inputs!$D$77:$F$77,1,Inputs!$E$13)</f>
        <v/>
      </c>
      <c r="AW22" s="24">
        <f>INDEX(Inputs!$D$76:$F$76,1,Inputs!$E$13)+AW21*INDEX(Inputs!$D$77:$F$77,1,Inputs!$E$13)</f>
        <v/>
      </c>
      <c r="AX22" s="24">
        <f>INDEX(Inputs!$D$76:$F$76,1,Inputs!$E$13)+AX21*INDEX(Inputs!$D$77:$F$77,1,Inputs!$E$13)</f>
        <v/>
      </c>
      <c r="AY22" s="24">
        <f>INDEX(Inputs!$D$76:$F$76,1,Inputs!$E$13)+AY21*INDEX(Inputs!$D$77:$F$77,1,Inputs!$E$13)</f>
        <v/>
      </c>
      <c r="AZ22" s="24">
        <f>INDEX(Inputs!$D$76:$F$76,1,Inputs!$E$13)+AZ21*INDEX(Inputs!$D$77:$F$77,1,Inputs!$E$13)</f>
        <v/>
      </c>
      <c r="BA22" s="24">
        <f>INDEX(Inputs!$D$76:$F$76,1,Inputs!$E$13)+BA21*INDEX(Inputs!$D$77:$F$77,1,Inputs!$E$13)</f>
        <v/>
      </c>
      <c r="BB22" s="24">
        <f>INDEX(Inputs!$D$76:$F$76,1,Inputs!$E$13)+BB21*INDEX(Inputs!$D$77:$F$77,1,Inputs!$E$13)</f>
        <v/>
      </c>
      <c r="BC22" s="24">
        <f>INDEX(Inputs!$D$76:$F$76,1,Inputs!$E$13)+BC21*INDEX(Inputs!$D$77:$F$77,1,Inputs!$E$13)</f>
        <v/>
      </c>
      <c r="BD22" s="24">
        <f>INDEX(Inputs!$D$76:$F$76,1,Inputs!$E$13)+BD21*INDEX(Inputs!$D$77:$F$77,1,Inputs!$E$13)</f>
        <v/>
      </c>
      <c r="BE22" s="24">
        <f>INDEX(Inputs!$D$76:$F$76,1,Inputs!$E$13)+BE21*INDEX(Inputs!$D$77:$F$77,1,Inputs!$E$13)</f>
        <v/>
      </c>
      <c r="BF22" s="24">
        <f>INDEX(Inputs!$D$76:$F$76,1,Inputs!$E$13)+BF21*INDEX(Inputs!$D$77:$F$77,1,Inputs!$E$13)</f>
        <v/>
      </c>
      <c r="BG22" s="24">
        <f>INDEX(Inputs!$D$76:$F$76,1,Inputs!$E$13)+BG21*INDEX(Inputs!$D$77:$F$77,1,Inputs!$E$13)</f>
        <v/>
      </c>
      <c r="BH22" s="24">
        <f>INDEX(Inputs!$D$76:$F$76,1,Inputs!$E$13)+BH21*INDEX(Inputs!$D$77:$F$77,1,Inputs!$E$13)</f>
        <v/>
      </c>
      <c r="BI22" s="24">
        <f>INDEX(Inputs!$D$76:$F$76,1,Inputs!$E$13)+BI21*INDEX(Inputs!$D$77:$F$77,1,Inputs!$E$13)</f>
        <v/>
      </c>
      <c r="BJ22" s="24">
        <f>INDEX(Inputs!$D$76:$F$76,1,Inputs!$E$13)+BJ21*INDEX(Inputs!$D$77:$F$77,1,Inputs!$E$13)</f>
        <v/>
      </c>
    </row>
    <row r="23">
      <c r="A23" t="inlineStr">
        <is>
          <t>Labour</t>
        </is>
      </c>
      <c r="C23" s="3">
        <f>(C22*INDEX(Inputs!$D$78:$F$78,1,Inputs!$E$13)+INDEX(Inputs!$D$79:$F$79,1,Inputs!$E$13))*(1+Inputs!$E$71)^(C4-1)*(1+Inputs!$E$67)+C22*Inputs!$E$68</f>
        <v/>
      </c>
      <c r="D23" s="3">
        <f>(D22*INDEX(Inputs!$D$78:$F$78,1,Inputs!$E$13)+INDEX(Inputs!$D$79:$F$79,1,Inputs!$E$13))*(1+Inputs!$E$71)^(D4-1)*(1+Inputs!$E$67)+D22*Inputs!$E$68</f>
        <v/>
      </c>
      <c r="E23" s="3">
        <f>(E22*INDEX(Inputs!$D$78:$F$78,1,Inputs!$E$13)+INDEX(Inputs!$D$79:$F$79,1,Inputs!$E$13))*(1+Inputs!$E$71)^(E4-1)*(1+Inputs!$E$67)+E22*Inputs!$E$68</f>
        <v/>
      </c>
      <c r="F23" s="3">
        <f>(F22*INDEX(Inputs!$D$78:$F$78,1,Inputs!$E$13)+INDEX(Inputs!$D$79:$F$79,1,Inputs!$E$13))*(1+Inputs!$E$71)^(F4-1)*(1+Inputs!$E$67)+F22*Inputs!$E$68</f>
        <v/>
      </c>
      <c r="G23" s="3">
        <f>(G22*INDEX(Inputs!$D$78:$F$78,1,Inputs!$E$13)+INDEX(Inputs!$D$79:$F$79,1,Inputs!$E$13))*(1+Inputs!$E$71)^(G4-1)*(1+Inputs!$E$67)+G22*Inputs!$E$68</f>
        <v/>
      </c>
      <c r="H23" s="3">
        <f>(H22*INDEX(Inputs!$D$78:$F$78,1,Inputs!$E$13)+INDEX(Inputs!$D$79:$F$79,1,Inputs!$E$13))*(1+Inputs!$E$71)^(H4-1)*(1+Inputs!$E$67)+H22*Inputs!$E$68</f>
        <v/>
      </c>
      <c r="I23" s="3">
        <f>(I22*INDEX(Inputs!$D$78:$F$78,1,Inputs!$E$13)+INDEX(Inputs!$D$79:$F$79,1,Inputs!$E$13))*(1+Inputs!$E$71)^(I4-1)*(1+Inputs!$E$67)+I22*Inputs!$E$68</f>
        <v/>
      </c>
      <c r="J23" s="3">
        <f>(J22*INDEX(Inputs!$D$78:$F$78,1,Inputs!$E$13)+INDEX(Inputs!$D$79:$F$79,1,Inputs!$E$13))*(1+Inputs!$E$71)^(J4-1)*(1+Inputs!$E$67)+J22*Inputs!$E$68</f>
        <v/>
      </c>
      <c r="K23" s="3">
        <f>(K22*INDEX(Inputs!$D$78:$F$78,1,Inputs!$E$13)+INDEX(Inputs!$D$79:$F$79,1,Inputs!$E$13))*(1+Inputs!$E$71)^(K4-1)*(1+Inputs!$E$67)+K22*Inputs!$E$68</f>
        <v/>
      </c>
      <c r="L23" s="3">
        <f>(L22*INDEX(Inputs!$D$78:$F$78,1,Inputs!$E$13)+INDEX(Inputs!$D$79:$F$79,1,Inputs!$E$13))*(1+Inputs!$E$71)^(L4-1)*(1+Inputs!$E$67)+L22*Inputs!$E$68</f>
        <v/>
      </c>
      <c r="M23" s="3">
        <f>(M22*INDEX(Inputs!$D$78:$F$78,1,Inputs!$E$13)+INDEX(Inputs!$D$79:$F$79,1,Inputs!$E$13))*(1+Inputs!$E$71)^(M4-1)*(1+Inputs!$E$67)+M22*Inputs!$E$68</f>
        <v/>
      </c>
      <c r="N23" s="3">
        <f>(N22*INDEX(Inputs!$D$78:$F$78,1,Inputs!$E$13)+INDEX(Inputs!$D$79:$F$79,1,Inputs!$E$13))*(1+Inputs!$E$71)^(N4-1)*(1+Inputs!$E$67)+N22*Inputs!$E$68</f>
        <v/>
      </c>
      <c r="O23" s="3">
        <f>(O22*INDEX(Inputs!$D$78:$F$78,1,Inputs!$E$13)+INDEX(Inputs!$D$79:$F$79,1,Inputs!$E$13))*(1+Inputs!$E$71)^(O4-1)*(1+Inputs!$E$67)+O22*Inputs!$E$68</f>
        <v/>
      </c>
      <c r="P23" s="3">
        <f>(P22*INDEX(Inputs!$D$78:$F$78,1,Inputs!$E$13)+INDEX(Inputs!$D$79:$F$79,1,Inputs!$E$13))*(1+Inputs!$E$71)^(P4-1)*(1+Inputs!$E$67)+P22*Inputs!$E$68</f>
        <v/>
      </c>
      <c r="Q23" s="3">
        <f>(Q22*INDEX(Inputs!$D$78:$F$78,1,Inputs!$E$13)+INDEX(Inputs!$D$79:$F$79,1,Inputs!$E$13))*(1+Inputs!$E$71)^(Q4-1)*(1+Inputs!$E$67)+Q22*Inputs!$E$68</f>
        <v/>
      </c>
      <c r="R23" s="3">
        <f>(R22*INDEX(Inputs!$D$78:$F$78,1,Inputs!$E$13)+INDEX(Inputs!$D$79:$F$79,1,Inputs!$E$13))*(1+Inputs!$E$71)^(R4-1)*(1+Inputs!$E$67)+R22*Inputs!$E$68</f>
        <v/>
      </c>
      <c r="S23" s="3">
        <f>(S22*INDEX(Inputs!$D$78:$F$78,1,Inputs!$E$13)+INDEX(Inputs!$D$79:$F$79,1,Inputs!$E$13))*(1+Inputs!$E$71)^(S4-1)*(1+Inputs!$E$67)+S22*Inputs!$E$68</f>
        <v/>
      </c>
      <c r="T23" s="3">
        <f>(T22*INDEX(Inputs!$D$78:$F$78,1,Inputs!$E$13)+INDEX(Inputs!$D$79:$F$79,1,Inputs!$E$13))*(1+Inputs!$E$71)^(T4-1)*(1+Inputs!$E$67)+T22*Inputs!$E$68</f>
        <v/>
      </c>
      <c r="U23" s="3">
        <f>(U22*INDEX(Inputs!$D$78:$F$78,1,Inputs!$E$13)+INDEX(Inputs!$D$79:$F$79,1,Inputs!$E$13))*(1+Inputs!$E$71)^(U4-1)*(1+Inputs!$E$67)+U22*Inputs!$E$68</f>
        <v/>
      </c>
      <c r="V23" s="3">
        <f>(V22*INDEX(Inputs!$D$78:$F$78,1,Inputs!$E$13)+INDEX(Inputs!$D$79:$F$79,1,Inputs!$E$13))*(1+Inputs!$E$71)^(V4-1)*(1+Inputs!$E$67)+V22*Inputs!$E$68</f>
        <v/>
      </c>
      <c r="W23" s="3">
        <f>(W22*INDEX(Inputs!$D$78:$F$78,1,Inputs!$E$13)+INDEX(Inputs!$D$79:$F$79,1,Inputs!$E$13))*(1+Inputs!$E$71)^(W4-1)*(1+Inputs!$E$67)+W22*Inputs!$E$68</f>
        <v/>
      </c>
      <c r="X23" s="3">
        <f>(X22*INDEX(Inputs!$D$78:$F$78,1,Inputs!$E$13)+INDEX(Inputs!$D$79:$F$79,1,Inputs!$E$13))*(1+Inputs!$E$71)^(X4-1)*(1+Inputs!$E$67)+X22*Inputs!$E$68</f>
        <v/>
      </c>
      <c r="Y23" s="3">
        <f>(Y22*INDEX(Inputs!$D$78:$F$78,1,Inputs!$E$13)+INDEX(Inputs!$D$79:$F$79,1,Inputs!$E$13))*(1+Inputs!$E$71)^(Y4-1)*(1+Inputs!$E$67)+Y22*Inputs!$E$68</f>
        <v/>
      </c>
      <c r="Z23" s="3">
        <f>(Z22*INDEX(Inputs!$D$78:$F$78,1,Inputs!$E$13)+INDEX(Inputs!$D$79:$F$79,1,Inputs!$E$13))*(1+Inputs!$E$71)^(Z4-1)*(1+Inputs!$E$67)+Z22*Inputs!$E$68</f>
        <v/>
      </c>
      <c r="AA23" s="3">
        <f>(AA22*INDEX(Inputs!$D$78:$F$78,1,Inputs!$E$13)+INDEX(Inputs!$D$79:$F$79,1,Inputs!$E$13))*(1+Inputs!$E$71)^(AA4-1)*(1+Inputs!$E$67)+AA22*Inputs!$E$68</f>
        <v/>
      </c>
      <c r="AB23" s="3">
        <f>(AB22*INDEX(Inputs!$D$78:$F$78,1,Inputs!$E$13)+INDEX(Inputs!$D$79:$F$79,1,Inputs!$E$13))*(1+Inputs!$E$71)^(AB4-1)*(1+Inputs!$E$67)+AB22*Inputs!$E$68</f>
        <v/>
      </c>
      <c r="AC23" s="3">
        <f>(AC22*INDEX(Inputs!$D$78:$F$78,1,Inputs!$E$13)+INDEX(Inputs!$D$79:$F$79,1,Inputs!$E$13))*(1+Inputs!$E$71)^(AC4-1)*(1+Inputs!$E$67)+AC22*Inputs!$E$68</f>
        <v/>
      </c>
      <c r="AD23" s="3">
        <f>(AD22*INDEX(Inputs!$D$78:$F$78,1,Inputs!$E$13)+INDEX(Inputs!$D$79:$F$79,1,Inputs!$E$13))*(1+Inputs!$E$71)^(AD4-1)*(1+Inputs!$E$67)+AD22*Inputs!$E$68</f>
        <v/>
      </c>
      <c r="AE23" s="3">
        <f>(AE22*INDEX(Inputs!$D$78:$F$78,1,Inputs!$E$13)+INDEX(Inputs!$D$79:$F$79,1,Inputs!$E$13))*(1+Inputs!$E$71)^(AE4-1)*(1+Inputs!$E$67)+AE22*Inputs!$E$68</f>
        <v/>
      </c>
      <c r="AF23" s="3">
        <f>(AF22*INDEX(Inputs!$D$78:$F$78,1,Inputs!$E$13)+INDEX(Inputs!$D$79:$F$79,1,Inputs!$E$13))*(1+Inputs!$E$71)^(AF4-1)*(1+Inputs!$E$67)+AF22*Inputs!$E$68</f>
        <v/>
      </c>
      <c r="AG23" s="3">
        <f>(AG22*INDEX(Inputs!$D$78:$F$78,1,Inputs!$E$13)+INDEX(Inputs!$D$79:$F$79,1,Inputs!$E$13))*(1+Inputs!$E$71)^(AG4-1)*(1+Inputs!$E$67)+AG22*Inputs!$E$68</f>
        <v/>
      </c>
      <c r="AH23" s="3">
        <f>(AH22*INDEX(Inputs!$D$78:$F$78,1,Inputs!$E$13)+INDEX(Inputs!$D$79:$F$79,1,Inputs!$E$13))*(1+Inputs!$E$71)^(AH4-1)*(1+Inputs!$E$67)+AH22*Inputs!$E$68</f>
        <v/>
      </c>
      <c r="AI23" s="3">
        <f>(AI22*INDEX(Inputs!$D$78:$F$78,1,Inputs!$E$13)+INDEX(Inputs!$D$79:$F$79,1,Inputs!$E$13))*(1+Inputs!$E$71)^(AI4-1)*(1+Inputs!$E$67)+AI22*Inputs!$E$68</f>
        <v/>
      </c>
      <c r="AJ23" s="3">
        <f>(AJ22*INDEX(Inputs!$D$78:$F$78,1,Inputs!$E$13)+INDEX(Inputs!$D$79:$F$79,1,Inputs!$E$13))*(1+Inputs!$E$71)^(AJ4-1)*(1+Inputs!$E$67)+AJ22*Inputs!$E$68</f>
        <v/>
      </c>
      <c r="AK23" s="3">
        <f>(AK22*INDEX(Inputs!$D$78:$F$78,1,Inputs!$E$13)+INDEX(Inputs!$D$79:$F$79,1,Inputs!$E$13))*(1+Inputs!$E$71)^(AK4-1)*(1+Inputs!$E$67)+AK22*Inputs!$E$68</f>
        <v/>
      </c>
      <c r="AL23" s="3">
        <f>(AL22*INDEX(Inputs!$D$78:$F$78,1,Inputs!$E$13)+INDEX(Inputs!$D$79:$F$79,1,Inputs!$E$13))*(1+Inputs!$E$71)^(AL4-1)*(1+Inputs!$E$67)+AL22*Inputs!$E$68</f>
        <v/>
      </c>
      <c r="AM23" s="3">
        <f>(AM22*INDEX(Inputs!$D$78:$F$78,1,Inputs!$E$13)+INDEX(Inputs!$D$79:$F$79,1,Inputs!$E$13))*(1+Inputs!$E$71)^(AM4-1)*(1+Inputs!$E$67)+AM22*Inputs!$E$68</f>
        <v/>
      </c>
      <c r="AN23" s="3">
        <f>(AN22*INDEX(Inputs!$D$78:$F$78,1,Inputs!$E$13)+INDEX(Inputs!$D$79:$F$79,1,Inputs!$E$13))*(1+Inputs!$E$71)^(AN4-1)*(1+Inputs!$E$67)+AN22*Inputs!$E$68</f>
        <v/>
      </c>
      <c r="AO23" s="3">
        <f>(AO22*INDEX(Inputs!$D$78:$F$78,1,Inputs!$E$13)+INDEX(Inputs!$D$79:$F$79,1,Inputs!$E$13))*(1+Inputs!$E$71)^(AO4-1)*(1+Inputs!$E$67)+AO22*Inputs!$E$68</f>
        <v/>
      </c>
      <c r="AP23" s="3">
        <f>(AP22*INDEX(Inputs!$D$78:$F$78,1,Inputs!$E$13)+INDEX(Inputs!$D$79:$F$79,1,Inputs!$E$13))*(1+Inputs!$E$71)^(AP4-1)*(1+Inputs!$E$67)+AP22*Inputs!$E$68</f>
        <v/>
      </c>
      <c r="AQ23" s="3">
        <f>(AQ22*INDEX(Inputs!$D$78:$F$78,1,Inputs!$E$13)+INDEX(Inputs!$D$79:$F$79,1,Inputs!$E$13))*(1+Inputs!$E$71)^(AQ4-1)*(1+Inputs!$E$67)+AQ22*Inputs!$E$68</f>
        <v/>
      </c>
      <c r="AR23" s="3">
        <f>(AR22*INDEX(Inputs!$D$78:$F$78,1,Inputs!$E$13)+INDEX(Inputs!$D$79:$F$79,1,Inputs!$E$13))*(1+Inputs!$E$71)^(AR4-1)*(1+Inputs!$E$67)+AR22*Inputs!$E$68</f>
        <v/>
      </c>
      <c r="AS23" s="3">
        <f>(AS22*INDEX(Inputs!$D$78:$F$78,1,Inputs!$E$13)+INDEX(Inputs!$D$79:$F$79,1,Inputs!$E$13))*(1+Inputs!$E$71)^(AS4-1)*(1+Inputs!$E$67)+AS22*Inputs!$E$68</f>
        <v/>
      </c>
      <c r="AT23" s="3">
        <f>(AT22*INDEX(Inputs!$D$78:$F$78,1,Inputs!$E$13)+INDEX(Inputs!$D$79:$F$79,1,Inputs!$E$13))*(1+Inputs!$E$71)^(AT4-1)*(1+Inputs!$E$67)+AT22*Inputs!$E$68</f>
        <v/>
      </c>
      <c r="AU23" s="3">
        <f>(AU22*INDEX(Inputs!$D$78:$F$78,1,Inputs!$E$13)+INDEX(Inputs!$D$79:$F$79,1,Inputs!$E$13))*(1+Inputs!$E$71)^(AU4-1)*(1+Inputs!$E$67)+AU22*Inputs!$E$68</f>
        <v/>
      </c>
      <c r="AV23" s="3">
        <f>(AV22*INDEX(Inputs!$D$78:$F$78,1,Inputs!$E$13)+INDEX(Inputs!$D$79:$F$79,1,Inputs!$E$13))*(1+Inputs!$E$71)^(AV4-1)*(1+Inputs!$E$67)+AV22*Inputs!$E$68</f>
        <v/>
      </c>
      <c r="AW23" s="3">
        <f>(AW22*INDEX(Inputs!$D$78:$F$78,1,Inputs!$E$13)+INDEX(Inputs!$D$79:$F$79,1,Inputs!$E$13))*(1+Inputs!$E$71)^(AW4-1)*(1+Inputs!$E$67)+AW22*Inputs!$E$68</f>
        <v/>
      </c>
      <c r="AX23" s="3">
        <f>(AX22*INDEX(Inputs!$D$78:$F$78,1,Inputs!$E$13)+INDEX(Inputs!$D$79:$F$79,1,Inputs!$E$13))*(1+Inputs!$E$71)^(AX4-1)*(1+Inputs!$E$67)+AX22*Inputs!$E$68</f>
        <v/>
      </c>
      <c r="AY23" s="3">
        <f>(AY22*INDEX(Inputs!$D$78:$F$78,1,Inputs!$E$13)+INDEX(Inputs!$D$79:$F$79,1,Inputs!$E$13))*(1+Inputs!$E$71)^(AY4-1)*(1+Inputs!$E$67)+AY22*Inputs!$E$68</f>
        <v/>
      </c>
      <c r="AZ23" s="3">
        <f>(AZ22*INDEX(Inputs!$D$78:$F$78,1,Inputs!$E$13)+INDEX(Inputs!$D$79:$F$79,1,Inputs!$E$13))*(1+Inputs!$E$71)^(AZ4-1)*(1+Inputs!$E$67)+AZ22*Inputs!$E$68</f>
        <v/>
      </c>
      <c r="BA23" s="3">
        <f>(BA22*INDEX(Inputs!$D$78:$F$78,1,Inputs!$E$13)+INDEX(Inputs!$D$79:$F$79,1,Inputs!$E$13))*(1+Inputs!$E$71)^(BA4-1)*(1+Inputs!$E$67)+BA22*Inputs!$E$68</f>
        <v/>
      </c>
      <c r="BB23" s="3">
        <f>(BB22*INDEX(Inputs!$D$78:$F$78,1,Inputs!$E$13)+INDEX(Inputs!$D$79:$F$79,1,Inputs!$E$13))*(1+Inputs!$E$71)^(BB4-1)*(1+Inputs!$E$67)+BB22*Inputs!$E$68</f>
        <v/>
      </c>
      <c r="BC23" s="3">
        <f>(BC22*INDEX(Inputs!$D$78:$F$78,1,Inputs!$E$13)+INDEX(Inputs!$D$79:$F$79,1,Inputs!$E$13))*(1+Inputs!$E$71)^(BC4-1)*(1+Inputs!$E$67)+BC22*Inputs!$E$68</f>
        <v/>
      </c>
      <c r="BD23" s="3">
        <f>(BD22*INDEX(Inputs!$D$78:$F$78,1,Inputs!$E$13)+INDEX(Inputs!$D$79:$F$79,1,Inputs!$E$13))*(1+Inputs!$E$71)^(BD4-1)*(1+Inputs!$E$67)+BD22*Inputs!$E$68</f>
        <v/>
      </c>
      <c r="BE23" s="3">
        <f>(BE22*INDEX(Inputs!$D$78:$F$78,1,Inputs!$E$13)+INDEX(Inputs!$D$79:$F$79,1,Inputs!$E$13))*(1+Inputs!$E$71)^(BE4-1)*(1+Inputs!$E$67)+BE22*Inputs!$E$68</f>
        <v/>
      </c>
      <c r="BF23" s="3">
        <f>(BF22*INDEX(Inputs!$D$78:$F$78,1,Inputs!$E$13)+INDEX(Inputs!$D$79:$F$79,1,Inputs!$E$13))*(1+Inputs!$E$71)^(BF4-1)*(1+Inputs!$E$67)+BF22*Inputs!$E$68</f>
        <v/>
      </c>
      <c r="BG23" s="3">
        <f>(BG22*INDEX(Inputs!$D$78:$F$78,1,Inputs!$E$13)+INDEX(Inputs!$D$79:$F$79,1,Inputs!$E$13))*(1+Inputs!$E$71)^(BG4-1)*(1+Inputs!$E$67)+BG22*Inputs!$E$68</f>
        <v/>
      </c>
      <c r="BH23" s="3">
        <f>(BH22*INDEX(Inputs!$D$78:$F$78,1,Inputs!$E$13)+INDEX(Inputs!$D$79:$F$79,1,Inputs!$E$13))*(1+Inputs!$E$71)^(BH4-1)*(1+Inputs!$E$67)+BH22*Inputs!$E$68</f>
        <v/>
      </c>
      <c r="BI23" s="3">
        <f>(BI22*INDEX(Inputs!$D$78:$F$78,1,Inputs!$E$13)+INDEX(Inputs!$D$79:$F$79,1,Inputs!$E$13))*(1+Inputs!$E$71)^(BI4-1)*(1+Inputs!$E$67)+BI22*Inputs!$E$68</f>
        <v/>
      </c>
      <c r="BJ23" s="3">
        <f>(BJ22*INDEX(Inputs!$D$78:$F$78,1,Inputs!$E$13)+INDEX(Inputs!$D$79:$F$79,1,Inputs!$E$13))*(1+Inputs!$E$71)^(BJ4-1)*(1+Inputs!$E$67)+BJ22*Inputs!$E$68</f>
        <v/>
      </c>
    </row>
    <row r="24">
      <c r="A24" t="inlineStr">
        <is>
          <t>Ground rent</t>
        </is>
      </c>
      <c r="C24" s="3">
        <f>Inputs!$E$14*Inputs!$E$65*(1+Inputs!$E$70)^(C4-1)</f>
        <v/>
      </c>
      <c r="D24" s="3">
        <f>Inputs!$E$14*Inputs!$E$65*(1+Inputs!$E$70)^(D4-1)</f>
        <v/>
      </c>
      <c r="E24" s="3">
        <f>Inputs!$E$14*Inputs!$E$65*(1+Inputs!$E$70)^(E4-1)</f>
        <v/>
      </c>
      <c r="F24" s="3">
        <f>Inputs!$E$14*Inputs!$E$65*(1+Inputs!$E$70)^(F4-1)</f>
        <v/>
      </c>
      <c r="G24" s="3">
        <f>Inputs!$E$14*Inputs!$E$65*(1+Inputs!$E$70)^(G4-1)</f>
        <v/>
      </c>
      <c r="H24" s="3">
        <f>Inputs!$E$14*Inputs!$E$65*(1+Inputs!$E$70)^(H4-1)</f>
        <v/>
      </c>
      <c r="I24" s="3">
        <f>Inputs!$E$14*Inputs!$E$65*(1+Inputs!$E$70)^(I4-1)</f>
        <v/>
      </c>
      <c r="J24" s="3">
        <f>Inputs!$E$14*Inputs!$E$65*(1+Inputs!$E$70)^(J4-1)</f>
        <v/>
      </c>
      <c r="K24" s="3">
        <f>Inputs!$E$14*Inputs!$E$65*(1+Inputs!$E$70)^(K4-1)</f>
        <v/>
      </c>
      <c r="L24" s="3">
        <f>Inputs!$E$14*Inputs!$E$65*(1+Inputs!$E$70)^(L4-1)</f>
        <v/>
      </c>
      <c r="M24" s="3">
        <f>Inputs!$E$14*Inputs!$E$65*(1+Inputs!$E$70)^(M4-1)</f>
        <v/>
      </c>
      <c r="N24" s="3">
        <f>Inputs!$E$14*Inputs!$E$65*(1+Inputs!$E$70)^(N4-1)</f>
        <v/>
      </c>
      <c r="O24" s="3">
        <f>Inputs!$E$14*Inputs!$E$65*(1+Inputs!$E$70)^(O4-1)</f>
        <v/>
      </c>
      <c r="P24" s="3">
        <f>Inputs!$E$14*Inputs!$E$65*(1+Inputs!$E$70)^(P4-1)</f>
        <v/>
      </c>
      <c r="Q24" s="3">
        <f>Inputs!$E$14*Inputs!$E$65*(1+Inputs!$E$70)^(Q4-1)</f>
        <v/>
      </c>
      <c r="R24" s="3">
        <f>Inputs!$E$14*Inputs!$E$65*(1+Inputs!$E$70)^(R4-1)</f>
        <v/>
      </c>
      <c r="S24" s="3">
        <f>Inputs!$E$14*Inputs!$E$65*(1+Inputs!$E$70)^(S4-1)</f>
        <v/>
      </c>
      <c r="T24" s="3">
        <f>Inputs!$E$14*Inputs!$E$65*(1+Inputs!$E$70)^(T4-1)</f>
        <v/>
      </c>
      <c r="U24" s="3">
        <f>Inputs!$E$14*Inputs!$E$65*(1+Inputs!$E$70)^(U4-1)</f>
        <v/>
      </c>
      <c r="V24" s="3">
        <f>Inputs!$E$14*Inputs!$E$65*(1+Inputs!$E$70)^(V4-1)</f>
        <v/>
      </c>
      <c r="W24" s="3">
        <f>Inputs!$E$14*Inputs!$E$65*(1+Inputs!$E$70)^(W4-1)</f>
        <v/>
      </c>
      <c r="X24" s="3">
        <f>Inputs!$E$14*Inputs!$E$65*(1+Inputs!$E$70)^(X4-1)</f>
        <v/>
      </c>
      <c r="Y24" s="3">
        <f>Inputs!$E$14*Inputs!$E$65*(1+Inputs!$E$70)^(Y4-1)</f>
        <v/>
      </c>
      <c r="Z24" s="3">
        <f>Inputs!$E$14*Inputs!$E$65*(1+Inputs!$E$70)^(Z4-1)</f>
        <v/>
      </c>
      <c r="AA24" s="3">
        <f>Inputs!$E$14*Inputs!$E$65*(1+Inputs!$E$70)^(AA4-1)</f>
        <v/>
      </c>
      <c r="AB24" s="3">
        <f>Inputs!$E$14*Inputs!$E$65*(1+Inputs!$E$70)^(AB4-1)</f>
        <v/>
      </c>
      <c r="AC24" s="3">
        <f>Inputs!$E$14*Inputs!$E$65*(1+Inputs!$E$70)^(AC4-1)</f>
        <v/>
      </c>
      <c r="AD24" s="3">
        <f>Inputs!$E$14*Inputs!$E$65*(1+Inputs!$E$70)^(AD4-1)</f>
        <v/>
      </c>
      <c r="AE24" s="3">
        <f>Inputs!$E$14*Inputs!$E$65*(1+Inputs!$E$70)^(AE4-1)</f>
        <v/>
      </c>
      <c r="AF24" s="3">
        <f>Inputs!$E$14*Inputs!$E$65*(1+Inputs!$E$70)^(AF4-1)</f>
        <v/>
      </c>
      <c r="AG24" s="3">
        <f>Inputs!$E$14*Inputs!$E$65*(1+Inputs!$E$70)^(AG4-1)</f>
        <v/>
      </c>
      <c r="AH24" s="3">
        <f>Inputs!$E$14*Inputs!$E$65*(1+Inputs!$E$70)^(AH4-1)</f>
        <v/>
      </c>
      <c r="AI24" s="3">
        <f>Inputs!$E$14*Inputs!$E$65*(1+Inputs!$E$70)^(AI4-1)</f>
        <v/>
      </c>
      <c r="AJ24" s="3">
        <f>Inputs!$E$14*Inputs!$E$65*(1+Inputs!$E$70)^(AJ4-1)</f>
        <v/>
      </c>
      <c r="AK24" s="3">
        <f>Inputs!$E$14*Inputs!$E$65*(1+Inputs!$E$70)^(AK4-1)</f>
        <v/>
      </c>
      <c r="AL24" s="3">
        <f>Inputs!$E$14*Inputs!$E$65*(1+Inputs!$E$70)^(AL4-1)</f>
        <v/>
      </c>
      <c r="AM24" s="3">
        <f>Inputs!$E$14*Inputs!$E$65*(1+Inputs!$E$70)^(AM4-1)</f>
        <v/>
      </c>
      <c r="AN24" s="3">
        <f>Inputs!$E$14*Inputs!$E$65*(1+Inputs!$E$70)^(AN4-1)</f>
        <v/>
      </c>
      <c r="AO24" s="3">
        <f>Inputs!$E$14*Inputs!$E$65*(1+Inputs!$E$70)^(AO4-1)</f>
        <v/>
      </c>
      <c r="AP24" s="3">
        <f>Inputs!$E$14*Inputs!$E$65*(1+Inputs!$E$70)^(AP4-1)</f>
        <v/>
      </c>
      <c r="AQ24" s="3">
        <f>Inputs!$E$14*Inputs!$E$65*(1+Inputs!$E$70)^(AQ4-1)</f>
        <v/>
      </c>
      <c r="AR24" s="3">
        <f>Inputs!$E$14*Inputs!$E$65*(1+Inputs!$E$70)^(AR4-1)</f>
        <v/>
      </c>
      <c r="AS24" s="3">
        <f>Inputs!$E$14*Inputs!$E$65*(1+Inputs!$E$70)^(AS4-1)</f>
        <v/>
      </c>
      <c r="AT24" s="3">
        <f>Inputs!$E$14*Inputs!$E$65*(1+Inputs!$E$70)^(AT4-1)</f>
        <v/>
      </c>
      <c r="AU24" s="3">
        <f>Inputs!$E$14*Inputs!$E$65*(1+Inputs!$E$70)^(AU4-1)</f>
        <v/>
      </c>
      <c r="AV24" s="3">
        <f>Inputs!$E$14*Inputs!$E$65*(1+Inputs!$E$70)^(AV4-1)</f>
        <v/>
      </c>
      <c r="AW24" s="3">
        <f>Inputs!$E$14*Inputs!$E$65*(1+Inputs!$E$70)^(AW4-1)</f>
        <v/>
      </c>
      <c r="AX24" s="3">
        <f>Inputs!$E$14*Inputs!$E$65*(1+Inputs!$E$70)^(AX4-1)</f>
        <v/>
      </c>
      <c r="AY24" s="3">
        <f>Inputs!$E$14*Inputs!$E$65*(1+Inputs!$E$70)^(AY4-1)</f>
        <v/>
      </c>
      <c r="AZ24" s="3">
        <f>Inputs!$E$14*Inputs!$E$65*(1+Inputs!$E$70)^(AZ4-1)</f>
        <v/>
      </c>
      <c r="BA24" s="3">
        <f>Inputs!$E$14*Inputs!$E$65*(1+Inputs!$E$70)^(BA4-1)</f>
        <v/>
      </c>
      <c r="BB24" s="3">
        <f>Inputs!$E$14*Inputs!$E$65*(1+Inputs!$E$70)^(BB4-1)</f>
        <v/>
      </c>
      <c r="BC24" s="3">
        <f>Inputs!$E$14*Inputs!$E$65*(1+Inputs!$E$70)^(BC4-1)</f>
        <v/>
      </c>
      <c r="BD24" s="3">
        <f>Inputs!$E$14*Inputs!$E$65*(1+Inputs!$E$70)^(BD4-1)</f>
        <v/>
      </c>
      <c r="BE24" s="3">
        <f>Inputs!$E$14*Inputs!$E$65*(1+Inputs!$E$70)^(BE4-1)</f>
        <v/>
      </c>
      <c r="BF24" s="3">
        <f>Inputs!$E$14*Inputs!$E$65*(1+Inputs!$E$70)^(BF4-1)</f>
        <v/>
      </c>
      <c r="BG24" s="3">
        <f>Inputs!$E$14*Inputs!$E$65*(1+Inputs!$E$70)^(BG4-1)</f>
        <v/>
      </c>
      <c r="BH24" s="3">
        <f>Inputs!$E$14*Inputs!$E$65*(1+Inputs!$E$70)^(BH4-1)</f>
        <v/>
      </c>
      <c r="BI24" s="3">
        <f>Inputs!$E$14*Inputs!$E$65*(1+Inputs!$E$70)^(BI4-1)</f>
        <v/>
      </c>
      <c r="BJ24" s="3">
        <f>Inputs!$E$14*Inputs!$E$65*(1+Inputs!$E$70)^(BJ4-1)</f>
        <v/>
      </c>
    </row>
    <row r="25">
      <c r="A25" t="inlineStr">
        <is>
          <t>Other fixed + land tax</t>
        </is>
      </c>
      <c r="C25" s="3">
        <f>Inputs!$E$64*(1+Inputs!$E$70)^(C4-1)+Inputs!$E$66/12</f>
        <v/>
      </c>
      <c r="D25" s="3">
        <f>Inputs!$E$64*(1+Inputs!$E$70)^(D4-1)+Inputs!$E$66/12</f>
        <v/>
      </c>
      <c r="E25" s="3">
        <f>Inputs!$E$64*(1+Inputs!$E$70)^(E4-1)+Inputs!$E$66/12</f>
        <v/>
      </c>
      <c r="F25" s="3">
        <f>Inputs!$E$64*(1+Inputs!$E$70)^(F4-1)+Inputs!$E$66/12</f>
        <v/>
      </c>
      <c r="G25" s="3">
        <f>Inputs!$E$64*(1+Inputs!$E$70)^(G4-1)+Inputs!$E$66/12</f>
        <v/>
      </c>
      <c r="H25" s="3">
        <f>Inputs!$E$64*(1+Inputs!$E$70)^(H4-1)+Inputs!$E$66/12</f>
        <v/>
      </c>
      <c r="I25" s="3">
        <f>Inputs!$E$64*(1+Inputs!$E$70)^(I4-1)+Inputs!$E$66/12</f>
        <v/>
      </c>
      <c r="J25" s="3">
        <f>Inputs!$E$64*(1+Inputs!$E$70)^(J4-1)+Inputs!$E$66/12</f>
        <v/>
      </c>
      <c r="K25" s="3">
        <f>Inputs!$E$64*(1+Inputs!$E$70)^(K4-1)+Inputs!$E$66/12</f>
        <v/>
      </c>
      <c r="L25" s="3">
        <f>Inputs!$E$64*(1+Inputs!$E$70)^(L4-1)+Inputs!$E$66/12</f>
        <v/>
      </c>
      <c r="M25" s="3">
        <f>Inputs!$E$64*(1+Inputs!$E$70)^(M4-1)+Inputs!$E$66/12</f>
        <v/>
      </c>
      <c r="N25" s="3">
        <f>Inputs!$E$64*(1+Inputs!$E$70)^(N4-1)+Inputs!$E$66/12</f>
        <v/>
      </c>
      <c r="O25" s="3">
        <f>Inputs!$E$64*(1+Inputs!$E$70)^(O4-1)+Inputs!$E$66/12</f>
        <v/>
      </c>
      <c r="P25" s="3">
        <f>Inputs!$E$64*(1+Inputs!$E$70)^(P4-1)+Inputs!$E$66/12</f>
        <v/>
      </c>
      <c r="Q25" s="3">
        <f>Inputs!$E$64*(1+Inputs!$E$70)^(Q4-1)+Inputs!$E$66/12</f>
        <v/>
      </c>
      <c r="R25" s="3">
        <f>Inputs!$E$64*(1+Inputs!$E$70)^(R4-1)+Inputs!$E$66/12</f>
        <v/>
      </c>
      <c r="S25" s="3">
        <f>Inputs!$E$64*(1+Inputs!$E$70)^(S4-1)+Inputs!$E$66/12</f>
        <v/>
      </c>
      <c r="T25" s="3">
        <f>Inputs!$E$64*(1+Inputs!$E$70)^(T4-1)+Inputs!$E$66/12</f>
        <v/>
      </c>
      <c r="U25" s="3">
        <f>Inputs!$E$64*(1+Inputs!$E$70)^(U4-1)+Inputs!$E$66/12</f>
        <v/>
      </c>
      <c r="V25" s="3">
        <f>Inputs!$E$64*(1+Inputs!$E$70)^(V4-1)+Inputs!$E$66/12</f>
        <v/>
      </c>
      <c r="W25" s="3">
        <f>Inputs!$E$64*(1+Inputs!$E$70)^(W4-1)+Inputs!$E$66/12</f>
        <v/>
      </c>
      <c r="X25" s="3">
        <f>Inputs!$E$64*(1+Inputs!$E$70)^(X4-1)+Inputs!$E$66/12</f>
        <v/>
      </c>
      <c r="Y25" s="3">
        <f>Inputs!$E$64*(1+Inputs!$E$70)^(Y4-1)+Inputs!$E$66/12</f>
        <v/>
      </c>
      <c r="Z25" s="3">
        <f>Inputs!$E$64*(1+Inputs!$E$70)^(Z4-1)+Inputs!$E$66/12</f>
        <v/>
      </c>
      <c r="AA25" s="3">
        <f>Inputs!$E$64*(1+Inputs!$E$70)^(AA4-1)+Inputs!$E$66/12</f>
        <v/>
      </c>
      <c r="AB25" s="3">
        <f>Inputs!$E$64*(1+Inputs!$E$70)^(AB4-1)+Inputs!$E$66/12</f>
        <v/>
      </c>
      <c r="AC25" s="3">
        <f>Inputs!$E$64*(1+Inputs!$E$70)^(AC4-1)+Inputs!$E$66/12</f>
        <v/>
      </c>
      <c r="AD25" s="3">
        <f>Inputs!$E$64*(1+Inputs!$E$70)^(AD4-1)+Inputs!$E$66/12</f>
        <v/>
      </c>
      <c r="AE25" s="3">
        <f>Inputs!$E$64*(1+Inputs!$E$70)^(AE4-1)+Inputs!$E$66/12</f>
        <v/>
      </c>
      <c r="AF25" s="3">
        <f>Inputs!$E$64*(1+Inputs!$E$70)^(AF4-1)+Inputs!$E$66/12</f>
        <v/>
      </c>
      <c r="AG25" s="3">
        <f>Inputs!$E$64*(1+Inputs!$E$70)^(AG4-1)+Inputs!$E$66/12</f>
        <v/>
      </c>
      <c r="AH25" s="3">
        <f>Inputs!$E$64*(1+Inputs!$E$70)^(AH4-1)+Inputs!$E$66/12</f>
        <v/>
      </c>
      <c r="AI25" s="3">
        <f>Inputs!$E$64*(1+Inputs!$E$70)^(AI4-1)+Inputs!$E$66/12</f>
        <v/>
      </c>
      <c r="AJ25" s="3">
        <f>Inputs!$E$64*(1+Inputs!$E$70)^(AJ4-1)+Inputs!$E$66/12</f>
        <v/>
      </c>
      <c r="AK25" s="3">
        <f>Inputs!$E$64*(1+Inputs!$E$70)^(AK4-1)+Inputs!$E$66/12</f>
        <v/>
      </c>
      <c r="AL25" s="3">
        <f>Inputs!$E$64*(1+Inputs!$E$70)^(AL4-1)+Inputs!$E$66/12</f>
        <v/>
      </c>
      <c r="AM25" s="3">
        <f>Inputs!$E$64*(1+Inputs!$E$70)^(AM4-1)+Inputs!$E$66/12</f>
        <v/>
      </c>
      <c r="AN25" s="3">
        <f>Inputs!$E$64*(1+Inputs!$E$70)^(AN4-1)+Inputs!$E$66/12</f>
        <v/>
      </c>
      <c r="AO25" s="3">
        <f>Inputs!$E$64*(1+Inputs!$E$70)^(AO4-1)+Inputs!$E$66/12</f>
        <v/>
      </c>
      <c r="AP25" s="3">
        <f>Inputs!$E$64*(1+Inputs!$E$70)^(AP4-1)+Inputs!$E$66/12</f>
        <v/>
      </c>
      <c r="AQ25" s="3">
        <f>Inputs!$E$64*(1+Inputs!$E$70)^(AQ4-1)+Inputs!$E$66/12</f>
        <v/>
      </c>
      <c r="AR25" s="3">
        <f>Inputs!$E$64*(1+Inputs!$E$70)^(AR4-1)+Inputs!$E$66/12</f>
        <v/>
      </c>
      <c r="AS25" s="3">
        <f>Inputs!$E$64*(1+Inputs!$E$70)^(AS4-1)+Inputs!$E$66/12</f>
        <v/>
      </c>
      <c r="AT25" s="3">
        <f>Inputs!$E$64*(1+Inputs!$E$70)^(AT4-1)+Inputs!$E$66/12</f>
        <v/>
      </c>
      <c r="AU25" s="3">
        <f>Inputs!$E$64*(1+Inputs!$E$70)^(AU4-1)+Inputs!$E$66/12</f>
        <v/>
      </c>
      <c r="AV25" s="3">
        <f>Inputs!$E$64*(1+Inputs!$E$70)^(AV4-1)+Inputs!$E$66/12</f>
        <v/>
      </c>
      <c r="AW25" s="3">
        <f>Inputs!$E$64*(1+Inputs!$E$70)^(AW4-1)+Inputs!$E$66/12</f>
        <v/>
      </c>
      <c r="AX25" s="3">
        <f>Inputs!$E$64*(1+Inputs!$E$70)^(AX4-1)+Inputs!$E$66/12</f>
        <v/>
      </c>
      <c r="AY25" s="3">
        <f>Inputs!$E$64*(1+Inputs!$E$70)^(AY4-1)+Inputs!$E$66/12</f>
        <v/>
      </c>
      <c r="AZ25" s="3">
        <f>Inputs!$E$64*(1+Inputs!$E$70)^(AZ4-1)+Inputs!$E$66/12</f>
        <v/>
      </c>
      <c r="BA25" s="3">
        <f>Inputs!$E$64*(1+Inputs!$E$70)^(BA4-1)+Inputs!$E$66/12</f>
        <v/>
      </c>
      <c r="BB25" s="3">
        <f>Inputs!$E$64*(1+Inputs!$E$70)^(BB4-1)+Inputs!$E$66/12</f>
        <v/>
      </c>
      <c r="BC25" s="3">
        <f>Inputs!$E$64*(1+Inputs!$E$70)^(BC4-1)+Inputs!$E$66/12</f>
        <v/>
      </c>
      <c r="BD25" s="3">
        <f>Inputs!$E$64*(1+Inputs!$E$70)^(BD4-1)+Inputs!$E$66/12</f>
        <v/>
      </c>
      <c r="BE25" s="3">
        <f>Inputs!$E$64*(1+Inputs!$E$70)^(BE4-1)+Inputs!$E$66/12</f>
        <v/>
      </c>
      <c r="BF25" s="3">
        <f>Inputs!$E$64*(1+Inputs!$E$70)^(BF4-1)+Inputs!$E$66/12</f>
        <v/>
      </c>
      <c r="BG25" s="3">
        <f>Inputs!$E$64*(1+Inputs!$E$70)^(BG4-1)+Inputs!$E$66/12</f>
        <v/>
      </c>
      <c r="BH25" s="3">
        <f>Inputs!$E$64*(1+Inputs!$E$70)^(BH4-1)+Inputs!$E$66/12</f>
        <v/>
      </c>
      <c r="BI25" s="3">
        <f>Inputs!$E$64*(1+Inputs!$E$70)^(BI4-1)+Inputs!$E$66/12</f>
        <v/>
      </c>
      <c r="BJ25" s="3">
        <f>Inputs!$E$64*(1+Inputs!$E$70)^(BJ4-1)+Inputs!$E$66/12</f>
        <v/>
      </c>
    </row>
    <row r="26">
      <c r="A26" s="18" t="inlineStr">
        <is>
          <t>Total operating costs</t>
        </is>
      </c>
      <c r="C26" s="3">
        <f>SUM(C15:C20)+C23+C24+C25</f>
        <v/>
      </c>
      <c r="D26" s="3">
        <f>SUM(D15:D20)+D23+D24+D25</f>
        <v/>
      </c>
      <c r="E26" s="3">
        <f>SUM(E15:E20)+E23+E24+E25</f>
        <v/>
      </c>
      <c r="F26" s="3">
        <f>SUM(F15:F20)+F23+F24+F25</f>
        <v/>
      </c>
      <c r="G26" s="3">
        <f>SUM(G15:G20)+G23+G24+G25</f>
        <v/>
      </c>
      <c r="H26" s="3">
        <f>SUM(H15:H20)+H23+H24+H25</f>
        <v/>
      </c>
      <c r="I26" s="3">
        <f>SUM(I15:I20)+I23+I24+I25</f>
        <v/>
      </c>
      <c r="J26" s="3">
        <f>SUM(J15:J20)+J23+J24+J25</f>
        <v/>
      </c>
      <c r="K26" s="3">
        <f>SUM(K15:K20)+K23+K24+K25</f>
        <v/>
      </c>
      <c r="L26" s="3">
        <f>SUM(L15:L20)+L23+L24+L25</f>
        <v/>
      </c>
      <c r="M26" s="3">
        <f>SUM(M15:M20)+M23+M24+M25</f>
        <v/>
      </c>
      <c r="N26" s="3">
        <f>SUM(N15:N20)+N23+N24+N25</f>
        <v/>
      </c>
      <c r="O26" s="3">
        <f>SUM(O15:O20)+O23+O24+O25</f>
        <v/>
      </c>
      <c r="P26" s="3">
        <f>SUM(P15:P20)+P23+P24+P25</f>
        <v/>
      </c>
      <c r="Q26" s="3">
        <f>SUM(Q15:Q20)+Q23+Q24+Q25</f>
        <v/>
      </c>
      <c r="R26" s="3">
        <f>SUM(R15:R20)+R23+R24+R25</f>
        <v/>
      </c>
      <c r="S26" s="3">
        <f>SUM(S15:S20)+S23+S24+S25</f>
        <v/>
      </c>
      <c r="T26" s="3">
        <f>SUM(T15:T20)+T23+T24+T25</f>
        <v/>
      </c>
      <c r="U26" s="3">
        <f>SUM(U15:U20)+U23+U24+U25</f>
        <v/>
      </c>
      <c r="V26" s="3">
        <f>SUM(V15:V20)+V23+V24+V25</f>
        <v/>
      </c>
      <c r="W26" s="3">
        <f>SUM(W15:W20)+W23+W24+W25</f>
        <v/>
      </c>
      <c r="X26" s="3">
        <f>SUM(X15:X20)+X23+X24+X25</f>
        <v/>
      </c>
      <c r="Y26" s="3">
        <f>SUM(Y15:Y20)+Y23+Y24+Y25</f>
        <v/>
      </c>
      <c r="Z26" s="3">
        <f>SUM(Z15:Z20)+Z23+Z24+Z25</f>
        <v/>
      </c>
      <c r="AA26" s="3">
        <f>SUM(AA15:AA20)+AA23+AA24+AA25</f>
        <v/>
      </c>
      <c r="AB26" s="3">
        <f>SUM(AB15:AB20)+AB23+AB24+AB25</f>
        <v/>
      </c>
      <c r="AC26" s="3">
        <f>SUM(AC15:AC20)+AC23+AC24+AC25</f>
        <v/>
      </c>
      <c r="AD26" s="3">
        <f>SUM(AD15:AD20)+AD23+AD24+AD25</f>
        <v/>
      </c>
      <c r="AE26" s="3">
        <f>SUM(AE15:AE20)+AE23+AE24+AE25</f>
        <v/>
      </c>
      <c r="AF26" s="3">
        <f>SUM(AF15:AF20)+AF23+AF24+AF25</f>
        <v/>
      </c>
      <c r="AG26" s="3">
        <f>SUM(AG15:AG20)+AG23+AG24+AG25</f>
        <v/>
      </c>
      <c r="AH26" s="3">
        <f>SUM(AH15:AH20)+AH23+AH24+AH25</f>
        <v/>
      </c>
      <c r="AI26" s="3">
        <f>SUM(AI15:AI20)+AI23+AI24+AI25</f>
        <v/>
      </c>
      <c r="AJ26" s="3">
        <f>SUM(AJ15:AJ20)+AJ23+AJ24+AJ25</f>
        <v/>
      </c>
      <c r="AK26" s="3">
        <f>SUM(AK15:AK20)+AK23+AK24+AK25</f>
        <v/>
      </c>
      <c r="AL26" s="3">
        <f>SUM(AL15:AL20)+AL23+AL24+AL25</f>
        <v/>
      </c>
      <c r="AM26" s="3">
        <f>SUM(AM15:AM20)+AM23+AM24+AM25</f>
        <v/>
      </c>
      <c r="AN26" s="3">
        <f>SUM(AN15:AN20)+AN23+AN24+AN25</f>
        <v/>
      </c>
      <c r="AO26" s="3">
        <f>SUM(AO15:AO20)+AO23+AO24+AO25</f>
        <v/>
      </c>
      <c r="AP26" s="3">
        <f>SUM(AP15:AP20)+AP23+AP24+AP25</f>
        <v/>
      </c>
      <c r="AQ26" s="3">
        <f>SUM(AQ15:AQ20)+AQ23+AQ24+AQ25</f>
        <v/>
      </c>
      <c r="AR26" s="3">
        <f>SUM(AR15:AR20)+AR23+AR24+AR25</f>
        <v/>
      </c>
      <c r="AS26" s="3">
        <f>SUM(AS15:AS20)+AS23+AS24+AS25</f>
        <v/>
      </c>
      <c r="AT26" s="3">
        <f>SUM(AT15:AT20)+AT23+AT24+AT25</f>
        <v/>
      </c>
      <c r="AU26" s="3">
        <f>SUM(AU15:AU20)+AU23+AU24+AU25</f>
        <v/>
      </c>
      <c r="AV26" s="3">
        <f>SUM(AV15:AV20)+AV23+AV24+AV25</f>
        <v/>
      </c>
      <c r="AW26" s="3">
        <f>SUM(AW15:AW20)+AW23+AW24+AW25</f>
        <v/>
      </c>
      <c r="AX26" s="3">
        <f>SUM(AX15:AX20)+AX23+AX24+AX25</f>
        <v/>
      </c>
      <c r="AY26" s="3">
        <f>SUM(AY15:AY20)+AY23+AY24+AY25</f>
        <v/>
      </c>
      <c r="AZ26" s="3">
        <f>SUM(AZ15:AZ20)+AZ23+AZ24+AZ25</f>
        <v/>
      </c>
      <c r="BA26" s="3">
        <f>SUM(BA15:BA20)+BA23+BA24+BA25</f>
        <v/>
      </c>
      <c r="BB26" s="3">
        <f>SUM(BB15:BB20)+BB23+BB24+BB25</f>
        <v/>
      </c>
      <c r="BC26" s="3">
        <f>SUM(BC15:BC20)+BC23+BC24+BC25</f>
        <v/>
      </c>
      <c r="BD26" s="3">
        <f>SUM(BD15:BD20)+BD23+BD24+BD25</f>
        <v/>
      </c>
      <c r="BE26" s="3">
        <f>SUM(BE15:BE20)+BE23+BE24+BE25</f>
        <v/>
      </c>
      <c r="BF26" s="3">
        <f>SUM(BF15:BF20)+BF23+BF24+BF25</f>
        <v/>
      </c>
      <c r="BG26" s="3">
        <f>SUM(BG15:BG20)+BG23+BG24+BG25</f>
        <v/>
      </c>
      <c r="BH26" s="3">
        <f>SUM(BH15:BH20)+BH23+BH24+BH25</f>
        <v/>
      </c>
      <c r="BI26" s="3">
        <f>SUM(BI15:BI20)+BI23+BI24+BI25</f>
        <v/>
      </c>
      <c r="BJ26" s="3">
        <f>SUM(BJ15:BJ20)+BJ23+BJ24+BJ25</f>
        <v/>
      </c>
    </row>
    <row r="27">
      <c r="A27" s="18" t="inlineStr">
        <is>
          <t>EBITDA</t>
        </is>
      </c>
      <c r="C27" s="3">
        <f>C14-C26</f>
        <v/>
      </c>
      <c r="D27" s="3">
        <f>D14-D26</f>
        <v/>
      </c>
      <c r="E27" s="3">
        <f>E14-E26</f>
        <v/>
      </c>
      <c r="F27" s="3">
        <f>F14-F26</f>
        <v/>
      </c>
      <c r="G27" s="3">
        <f>G14-G26</f>
        <v/>
      </c>
      <c r="H27" s="3">
        <f>H14-H26</f>
        <v/>
      </c>
      <c r="I27" s="3">
        <f>I14-I26</f>
        <v/>
      </c>
      <c r="J27" s="3">
        <f>J14-J26</f>
        <v/>
      </c>
      <c r="K27" s="3">
        <f>K14-K26</f>
        <v/>
      </c>
      <c r="L27" s="3">
        <f>L14-L26</f>
        <v/>
      </c>
      <c r="M27" s="3">
        <f>M14-M26</f>
        <v/>
      </c>
      <c r="N27" s="3">
        <f>N14-N26</f>
        <v/>
      </c>
      <c r="O27" s="3">
        <f>O14-O26</f>
        <v/>
      </c>
      <c r="P27" s="3">
        <f>P14-P26</f>
        <v/>
      </c>
      <c r="Q27" s="3">
        <f>Q14-Q26</f>
        <v/>
      </c>
      <c r="R27" s="3">
        <f>R14-R26</f>
        <v/>
      </c>
      <c r="S27" s="3">
        <f>S14-S26</f>
        <v/>
      </c>
      <c r="T27" s="3">
        <f>T14-T26</f>
        <v/>
      </c>
      <c r="U27" s="3">
        <f>U14-U26</f>
        <v/>
      </c>
      <c r="V27" s="3">
        <f>V14-V26</f>
        <v/>
      </c>
      <c r="W27" s="3">
        <f>W14-W26</f>
        <v/>
      </c>
      <c r="X27" s="3">
        <f>X14-X26</f>
        <v/>
      </c>
      <c r="Y27" s="3">
        <f>Y14-Y26</f>
        <v/>
      </c>
      <c r="Z27" s="3">
        <f>Z14-Z26</f>
        <v/>
      </c>
      <c r="AA27" s="3">
        <f>AA14-AA26</f>
        <v/>
      </c>
      <c r="AB27" s="3">
        <f>AB14-AB26</f>
        <v/>
      </c>
      <c r="AC27" s="3">
        <f>AC14-AC26</f>
        <v/>
      </c>
      <c r="AD27" s="3">
        <f>AD14-AD26</f>
        <v/>
      </c>
      <c r="AE27" s="3">
        <f>AE14-AE26</f>
        <v/>
      </c>
      <c r="AF27" s="3">
        <f>AF14-AF26</f>
        <v/>
      </c>
      <c r="AG27" s="3">
        <f>AG14-AG26</f>
        <v/>
      </c>
      <c r="AH27" s="3">
        <f>AH14-AH26</f>
        <v/>
      </c>
      <c r="AI27" s="3">
        <f>AI14-AI26</f>
        <v/>
      </c>
      <c r="AJ27" s="3">
        <f>AJ14-AJ26</f>
        <v/>
      </c>
      <c r="AK27" s="3">
        <f>AK14-AK26</f>
        <v/>
      </c>
      <c r="AL27" s="3">
        <f>AL14-AL26</f>
        <v/>
      </c>
      <c r="AM27" s="3">
        <f>AM14-AM26</f>
        <v/>
      </c>
      <c r="AN27" s="3">
        <f>AN14-AN26</f>
        <v/>
      </c>
      <c r="AO27" s="3">
        <f>AO14-AO26</f>
        <v/>
      </c>
      <c r="AP27" s="3">
        <f>AP14-AP26</f>
        <v/>
      </c>
      <c r="AQ27" s="3">
        <f>AQ14-AQ26</f>
        <v/>
      </c>
      <c r="AR27" s="3">
        <f>AR14-AR26</f>
        <v/>
      </c>
      <c r="AS27" s="3">
        <f>AS14-AS26</f>
        <v/>
      </c>
      <c r="AT27" s="3">
        <f>AT14-AT26</f>
        <v/>
      </c>
      <c r="AU27" s="3">
        <f>AU14-AU26</f>
        <v/>
      </c>
      <c r="AV27" s="3">
        <f>AV14-AV26</f>
        <v/>
      </c>
      <c r="AW27" s="3">
        <f>AW14-AW26</f>
        <v/>
      </c>
      <c r="AX27" s="3">
        <f>AX14-AX26</f>
        <v/>
      </c>
      <c r="AY27" s="3">
        <f>AY14-AY26</f>
        <v/>
      </c>
      <c r="AZ27" s="3">
        <f>AZ14-AZ26</f>
        <v/>
      </c>
      <c r="BA27" s="3">
        <f>BA14-BA26</f>
        <v/>
      </c>
      <c r="BB27" s="3">
        <f>BB14-BB26</f>
        <v/>
      </c>
      <c r="BC27" s="3">
        <f>BC14-BC26</f>
        <v/>
      </c>
      <c r="BD27" s="3">
        <f>BD14-BD26</f>
        <v/>
      </c>
      <c r="BE27" s="3">
        <f>BE14-BE26</f>
        <v/>
      </c>
      <c r="BF27" s="3">
        <f>BF14-BF26</f>
        <v/>
      </c>
      <c r="BG27" s="3">
        <f>BG14-BG26</f>
        <v/>
      </c>
      <c r="BH27" s="3">
        <f>BH14-BH26</f>
        <v/>
      </c>
      <c r="BI27" s="3">
        <f>BI14-BI26</f>
        <v/>
      </c>
      <c r="BJ27" s="3">
        <f>BJ14-BJ26</f>
        <v/>
      </c>
    </row>
    <row r="28">
      <c r="A28" t="inlineStr">
        <is>
          <t>Depreciation</t>
        </is>
      </c>
      <c r="C28" s="3">
        <f>IF(AND(Inputs!$E$84&gt;0,C3&lt;=Inputs!$E$84*12),INDEX(Capex!$C$19:$E$19,1,Inputs!$E$13)/MAX(Inputs!$E$84,1)/12,0)+IF(AND(Inputs!$E$85&gt;0,C3&lt;=Inputs!$E$85*12),INDEX(Capex!$C$20:$E$20,1,Inputs!$E$13)/MAX(Inputs!$E$85,1)/12,0)+IF(AND(Inputs!$E$86&gt;0,C3&lt;=Inputs!$E$86*12),INDEX(Capex!$C$21:$E$21,1,Inputs!$E$13)/MAX(Inputs!$E$86,1)/12,0)+IF(AND(Inputs!$E$87&gt;0,C3&lt;=Inputs!$E$87*12),INDEX(Capex!$C$22:$E$22,1,Inputs!$E$13)/MAX(Inputs!$E$87,1)/12,0)+IF(AND(Inputs!$E$88&gt;0,C3&lt;=Inputs!$E$88*12),INDEX(Capex!$C$23:$E$23,1,Inputs!$E$13)/MAX(Inputs!$E$88,1)/12,0)+IF(AND(Inputs!$E$89&gt;0,C3&lt;=Inputs!$E$89*12),INDEX(Capex!$C$24:$E$24,1,Inputs!$E$13)/MAX(Inputs!$E$89,1)/12,0)+IF(AND(Inputs!$E$90&gt;0,C3&lt;=Inputs!$E$90*12),INDEX(Capex!$C$25:$E$25,1,Inputs!$E$13)/MAX(Inputs!$E$90,1)/12,0)</f>
        <v/>
      </c>
      <c r="D28" s="3">
        <f>IF(AND(Inputs!$E$84&gt;0,D3&lt;=Inputs!$E$84*12),INDEX(Capex!$C$19:$E$19,1,Inputs!$E$13)/MAX(Inputs!$E$84,1)/12,0)+IF(AND(Inputs!$E$85&gt;0,D3&lt;=Inputs!$E$85*12),INDEX(Capex!$C$20:$E$20,1,Inputs!$E$13)/MAX(Inputs!$E$85,1)/12,0)+IF(AND(Inputs!$E$86&gt;0,D3&lt;=Inputs!$E$86*12),INDEX(Capex!$C$21:$E$21,1,Inputs!$E$13)/MAX(Inputs!$E$86,1)/12,0)+IF(AND(Inputs!$E$87&gt;0,D3&lt;=Inputs!$E$87*12),INDEX(Capex!$C$22:$E$22,1,Inputs!$E$13)/MAX(Inputs!$E$87,1)/12,0)+IF(AND(Inputs!$E$88&gt;0,D3&lt;=Inputs!$E$88*12),INDEX(Capex!$C$23:$E$23,1,Inputs!$E$13)/MAX(Inputs!$E$88,1)/12,0)+IF(AND(Inputs!$E$89&gt;0,D3&lt;=Inputs!$E$89*12),INDEX(Capex!$C$24:$E$24,1,Inputs!$E$13)/MAX(Inputs!$E$89,1)/12,0)+IF(AND(Inputs!$E$90&gt;0,D3&lt;=Inputs!$E$90*12),INDEX(Capex!$C$25:$E$25,1,Inputs!$E$13)/MAX(Inputs!$E$90,1)/12,0)</f>
        <v/>
      </c>
      <c r="E28" s="3">
        <f>IF(AND(Inputs!$E$84&gt;0,E3&lt;=Inputs!$E$84*12),INDEX(Capex!$C$19:$E$19,1,Inputs!$E$13)/MAX(Inputs!$E$84,1)/12,0)+IF(AND(Inputs!$E$85&gt;0,E3&lt;=Inputs!$E$85*12),INDEX(Capex!$C$20:$E$20,1,Inputs!$E$13)/MAX(Inputs!$E$85,1)/12,0)+IF(AND(Inputs!$E$86&gt;0,E3&lt;=Inputs!$E$86*12),INDEX(Capex!$C$21:$E$21,1,Inputs!$E$13)/MAX(Inputs!$E$86,1)/12,0)+IF(AND(Inputs!$E$87&gt;0,E3&lt;=Inputs!$E$87*12),INDEX(Capex!$C$22:$E$22,1,Inputs!$E$13)/MAX(Inputs!$E$87,1)/12,0)+IF(AND(Inputs!$E$88&gt;0,E3&lt;=Inputs!$E$88*12),INDEX(Capex!$C$23:$E$23,1,Inputs!$E$13)/MAX(Inputs!$E$88,1)/12,0)+IF(AND(Inputs!$E$89&gt;0,E3&lt;=Inputs!$E$89*12),INDEX(Capex!$C$24:$E$24,1,Inputs!$E$13)/MAX(Inputs!$E$89,1)/12,0)+IF(AND(Inputs!$E$90&gt;0,E3&lt;=Inputs!$E$90*12),INDEX(Capex!$C$25:$E$25,1,Inputs!$E$13)/MAX(Inputs!$E$90,1)/12,0)</f>
        <v/>
      </c>
      <c r="F28" s="3">
        <f>IF(AND(Inputs!$E$84&gt;0,F3&lt;=Inputs!$E$84*12),INDEX(Capex!$C$19:$E$19,1,Inputs!$E$13)/MAX(Inputs!$E$84,1)/12,0)+IF(AND(Inputs!$E$85&gt;0,F3&lt;=Inputs!$E$85*12),INDEX(Capex!$C$20:$E$20,1,Inputs!$E$13)/MAX(Inputs!$E$85,1)/12,0)+IF(AND(Inputs!$E$86&gt;0,F3&lt;=Inputs!$E$86*12),INDEX(Capex!$C$21:$E$21,1,Inputs!$E$13)/MAX(Inputs!$E$86,1)/12,0)+IF(AND(Inputs!$E$87&gt;0,F3&lt;=Inputs!$E$87*12),INDEX(Capex!$C$22:$E$22,1,Inputs!$E$13)/MAX(Inputs!$E$87,1)/12,0)+IF(AND(Inputs!$E$88&gt;0,F3&lt;=Inputs!$E$88*12),INDEX(Capex!$C$23:$E$23,1,Inputs!$E$13)/MAX(Inputs!$E$88,1)/12,0)+IF(AND(Inputs!$E$89&gt;0,F3&lt;=Inputs!$E$89*12),INDEX(Capex!$C$24:$E$24,1,Inputs!$E$13)/MAX(Inputs!$E$89,1)/12,0)+IF(AND(Inputs!$E$90&gt;0,F3&lt;=Inputs!$E$90*12),INDEX(Capex!$C$25:$E$25,1,Inputs!$E$13)/MAX(Inputs!$E$90,1)/12,0)</f>
        <v/>
      </c>
      <c r="G28" s="3">
        <f>IF(AND(Inputs!$E$84&gt;0,G3&lt;=Inputs!$E$84*12),INDEX(Capex!$C$19:$E$19,1,Inputs!$E$13)/MAX(Inputs!$E$84,1)/12,0)+IF(AND(Inputs!$E$85&gt;0,G3&lt;=Inputs!$E$85*12),INDEX(Capex!$C$20:$E$20,1,Inputs!$E$13)/MAX(Inputs!$E$85,1)/12,0)+IF(AND(Inputs!$E$86&gt;0,G3&lt;=Inputs!$E$86*12),INDEX(Capex!$C$21:$E$21,1,Inputs!$E$13)/MAX(Inputs!$E$86,1)/12,0)+IF(AND(Inputs!$E$87&gt;0,G3&lt;=Inputs!$E$87*12),INDEX(Capex!$C$22:$E$22,1,Inputs!$E$13)/MAX(Inputs!$E$87,1)/12,0)+IF(AND(Inputs!$E$88&gt;0,G3&lt;=Inputs!$E$88*12),INDEX(Capex!$C$23:$E$23,1,Inputs!$E$13)/MAX(Inputs!$E$88,1)/12,0)+IF(AND(Inputs!$E$89&gt;0,G3&lt;=Inputs!$E$89*12),INDEX(Capex!$C$24:$E$24,1,Inputs!$E$13)/MAX(Inputs!$E$89,1)/12,0)+IF(AND(Inputs!$E$90&gt;0,G3&lt;=Inputs!$E$90*12),INDEX(Capex!$C$25:$E$25,1,Inputs!$E$13)/MAX(Inputs!$E$90,1)/12,0)</f>
        <v/>
      </c>
      <c r="H28" s="3">
        <f>IF(AND(Inputs!$E$84&gt;0,H3&lt;=Inputs!$E$84*12),INDEX(Capex!$C$19:$E$19,1,Inputs!$E$13)/MAX(Inputs!$E$84,1)/12,0)+IF(AND(Inputs!$E$85&gt;0,H3&lt;=Inputs!$E$85*12),INDEX(Capex!$C$20:$E$20,1,Inputs!$E$13)/MAX(Inputs!$E$85,1)/12,0)+IF(AND(Inputs!$E$86&gt;0,H3&lt;=Inputs!$E$86*12),INDEX(Capex!$C$21:$E$21,1,Inputs!$E$13)/MAX(Inputs!$E$86,1)/12,0)+IF(AND(Inputs!$E$87&gt;0,H3&lt;=Inputs!$E$87*12),INDEX(Capex!$C$22:$E$22,1,Inputs!$E$13)/MAX(Inputs!$E$87,1)/12,0)+IF(AND(Inputs!$E$88&gt;0,H3&lt;=Inputs!$E$88*12),INDEX(Capex!$C$23:$E$23,1,Inputs!$E$13)/MAX(Inputs!$E$88,1)/12,0)+IF(AND(Inputs!$E$89&gt;0,H3&lt;=Inputs!$E$89*12),INDEX(Capex!$C$24:$E$24,1,Inputs!$E$13)/MAX(Inputs!$E$89,1)/12,0)+IF(AND(Inputs!$E$90&gt;0,H3&lt;=Inputs!$E$90*12),INDEX(Capex!$C$25:$E$25,1,Inputs!$E$13)/MAX(Inputs!$E$90,1)/12,0)</f>
        <v/>
      </c>
      <c r="I28" s="3">
        <f>IF(AND(Inputs!$E$84&gt;0,I3&lt;=Inputs!$E$84*12),INDEX(Capex!$C$19:$E$19,1,Inputs!$E$13)/MAX(Inputs!$E$84,1)/12,0)+IF(AND(Inputs!$E$85&gt;0,I3&lt;=Inputs!$E$85*12),INDEX(Capex!$C$20:$E$20,1,Inputs!$E$13)/MAX(Inputs!$E$85,1)/12,0)+IF(AND(Inputs!$E$86&gt;0,I3&lt;=Inputs!$E$86*12),INDEX(Capex!$C$21:$E$21,1,Inputs!$E$13)/MAX(Inputs!$E$86,1)/12,0)+IF(AND(Inputs!$E$87&gt;0,I3&lt;=Inputs!$E$87*12),INDEX(Capex!$C$22:$E$22,1,Inputs!$E$13)/MAX(Inputs!$E$87,1)/12,0)+IF(AND(Inputs!$E$88&gt;0,I3&lt;=Inputs!$E$88*12),INDEX(Capex!$C$23:$E$23,1,Inputs!$E$13)/MAX(Inputs!$E$88,1)/12,0)+IF(AND(Inputs!$E$89&gt;0,I3&lt;=Inputs!$E$89*12),INDEX(Capex!$C$24:$E$24,1,Inputs!$E$13)/MAX(Inputs!$E$89,1)/12,0)+IF(AND(Inputs!$E$90&gt;0,I3&lt;=Inputs!$E$90*12),INDEX(Capex!$C$25:$E$25,1,Inputs!$E$13)/MAX(Inputs!$E$90,1)/12,0)</f>
        <v/>
      </c>
      <c r="J28" s="3">
        <f>IF(AND(Inputs!$E$84&gt;0,J3&lt;=Inputs!$E$84*12),INDEX(Capex!$C$19:$E$19,1,Inputs!$E$13)/MAX(Inputs!$E$84,1)/12,0)+IF(AND(Inputs!$E$85&gt;0,J3&lt;=Inputs!$E$85*12),INDEX(Capex!$C$20:$E$20,1,Inputs!$E$13)/MAX(Inputs!$E$85,1)/12,0)+IF(AND(Inputs!$E$86&gt;0,J3&lt;=Inputs!$E$86*12),INDEX(Capex!$C$21:$E$21,1,Inputs!$E$13)/MAX(Inputs!$E$86,1)/12,0)+IF(AND(Inputs!$E$87&gt;0,J3&lt;=Inputs!$E$87*12),INDEX(Capex!$C$22:$E$22,1,Inputs!$E$13)/MAX(Inputs!$E$87,1)/12,0)+IF(AND(Inputs!$E$88&gt;0,J3&lt;=Inputs!$E$88*12),INDEX(Capex!$C$23:$E$23,1,Inputs!$E$13)/MAX(Inputs!$E$88,1)/12,0)+IF(AND(Inputs!$E$89&gt;0,J3&lt;=Inputs!$E$89*12),INDEX(Capex!$C$24:$E$24,1,Inputs!$E$13)/MAX(Inputs!$E$89,1)/12,0)+IF(AND(Inputs!$E$90&gt;0,J3&lt;=Inputs!$E$90*12),INDEX(Capex!$C$25:$E$25,1,Inputs!$E$13)/MAX(Inputs!$E$90,1)/12,0)</f>
        <v/>
      </c>
      <c r="K28" s="3">
        <f>IF(AND(Inputs!$E$84&gt;0,K3&lt;=Inputs!$E$84*12),INDEX(Capex!$C$19:$E$19,1,Inputs!$E$13)/MAX(Inputs!$E$84,1)/12,0)+IF(AND(Inputs!$E$85&gt;0,K3&lt;=Inputs!$E$85*12),INDEX(Capex!$C$20:$E$20,1,Inputs!$E$13)/MAX(Inputs!$E$85,1)/12,0)+IF(AND(Inputs!$E$86&gt;0,K3&lt;=Inputs!$E$86*12),INDEX(Capex!$C$21:$E$21,1,Inputs!$E$13)/MAX(Inputs!$E$86,1)/12,0)+IF(AND(Inputs!$E$87&gt;0,K3&lt;=Inputs!$E$87*12),INDEX(Capex!$C$22:$E$22,1,Inputs!$E$13)/MAX(Inputs!$E$87,1)/12,0)+IF(AND(Inputs!$E$88&gt;0,K3&lt;=Inputs!$E$88*12),INDEX(Capex!$C$23:$E$23,1,Inputs!$E$13)/MAX(Inputs!$E$88,1)/12,0)+IF(AND(Inputs!$E$89&gt;0,K3&lt;=Inputs!$E$89*12),INDEX(Capex!$C$24:$E$24,1,Inputs!$E$13)/MAX(Inputs!$E$89,1)/12,0)+IF(AND(Inputs!$E$90&gt;0,K3&lt;=Inputs!$E$90*12),INDEX(Capex!$C$25:$E$25,1,Inputs!$E$13)/MAX(Inputs!$E$90,1)/12,0)</f>
        <v/>
      </c>
      <c r="L28" s="3">
        <f>IF(AND(Inputs!$E$84&gt;0,L3&lt;=Inputs!$E$84*12),INDEX(Capex!$C$19:$E$19,1,Inputs!$E$13)/MAX(Inputs!$E$84,1)/12,0)+IF(AND(Inputs!$E$85&gt;0,L3&lt;=Inputs!$E$85*12),INDEX(Capex!$C$20:$E$20,1,Inputs!$E$13)/MAX(Inputs!$E$85,1)/12,0)+IF(AND(Inputs!$E$86&gt;0,L3&lt;=Inputs!$E$86*12),INDEX(Capex!$C$21:$E$21,1,Inputs!$E$13)/MAX(Inputs!$E$86,1)/12,0)+IF(AND(Inputs!$E$87&gt;0,L3&lt;=Inputs!$E$87*12),INDEX(Capex!$C$22:$E$22,1,Inputs!$E$13)/MAX(Inputs!$E$87,1)/12,0)+IF(AND(Inputs!$E$88&gt;0,L3&lt;=Inputs!$E$88*12),INDEX(Capex!$C$23:$E$23,1,Inputs!$E$13)/MAX(Inputs!$E$88,1)/12,0)+IF(AND(Inputs!$E$89&gt;0,L3&lt;=Inputs!$E$89*12),INDEX(Capex!$C$24:$E$24,1,Inputs!$E$13)/MAX(Inputs!$E$89,1)/12,0)+IF(AND(Inputs!$E$90&gt;0,L3&lt;=Inputs!$E$90*12),INDEX(Capex!$C$25:$E$25,1,Inputs!$E$13)/MAX(Inputs!$E$90,1)/12,0)</f>
        <v/>
      </c>
      <c r="M28" s="3">
        <f>IF(AND(Inputs!$E$84&gt;0,M3&lt;=Inputs!$E$84*12),INDEX(Capex!$C$19:$E$19,1,Inputs!$E$13)/MAX(Inputs!$E$84,1)/12,0)+IF(AND(Inputs!$E$85&gt;0,M3&lt;=Inputs!$E$85*12),INDEX(Capex!$C$20:$E$20,1,Inputs!$E$13)/MAX(Inputs!$E$85,1)/12,0)+IF(AND(Inputs!$E$86&gt;0,M3&lt;=Inputs!$E$86*12),INDEX(Capex!$C$21:$E$21,1,Inputs!$E$13)/MAX(Inputs!$E$86,1)/12,0)+IF(AND(Inputs!$E$87&gt;0,M3&lt;=Inputs!$E$87*12),INDEX(Capex!$C$22:$E$22,1,Inputs!$E$13)/MAX(Inputs!$E$87,1)/12,0)+IF(AND(Inputs!$E$88&gt;0,M3&lt;=Inputs!$E$88*12),INDEX(Capex!$C$23:$E$23,1,Inputs!$E$13)/MAX(Inputs!$E$88,1)/12,0)+IF(AND(Inputs!$E$89&gt;0,M3&lt;=Inputs!$E$89*12),INDEX(Capex!$C$24:$E$24,1,Inputs!$E$13)/MAX(Inputs!$E$89,1)/12,0)+IF(AND(Inputs!$E$90&gt;0,M3&lt;=Inputs!$E$90*12),INDEX(Capex!$C$25:$E$25,1,Inputs!$E$13)/MAX(Inputs!$E$90,1)/12,0)</f>
        <v/>
      </c>
      <c r="N28" s="3">
        <f>IF(AND(Inputs!$E$84&gt;0,N3&lt;=Inputs!$E$84*12),INDEX(Capex!$C$19:$E$19,1,Inputs!$E$13)/MAX(Inputs!$E$84,1)/12,0)+IF(AND(Inputs!$E$85&gt;0,N3&lt;=Inputs!$E$85*12),INDEX(Capex!$C$20:$E$20,1,Inputs!$E$13)/MAX(Inputs!$E$85,1)/12,0)+IF(AND(Inputs!$E$86&gt;0,N3&lt;=Inputs!$E$86*12),INDEX(Capex!$C$21:$E$21,1,Inputs!$E$13)/MAX(Inputs!$E$86,1)/12,0)+IF(AND(Inputs!$E$87&gt;0,N3&lt;=Inputs!$E$87*12),INDEX(Capex!$C$22:$E$22,1,Inputs!$E$13)/MAX(Inputs!$E$87,1)/12,0)+IF(AND(Inputs!$E$88&gt;0,N3&lt;=Inputs!$E$88*12),INDEX(Capex!$C$23:$E$23,1,Inputs!$E$13)/MAX(Inputs!$E$88,1)/12,0)+IF(AND(Inputs!$E$89&gt;0,N3&lt;=Inputs!$E$89*12),INDEX(Capex!$C$24:$E$24,1,Inputs!$E$13)/MAX(Inputs!$E$89,1)/12,0)+IF(AND(Inputs!$E$90&gt;0,N3&lt;=Inputs!$E$90*12),INDEX(Capex!$C$25:$E$25,1,Inputs!$E$13)/MAX(Inputs!$E$90,1)/12,0)</f>
        <v/>
      </c>
      <c r="O28" s="3">
        <f>IF(AND(Inputs!$E$84&gt;0,O3&lt;=Inputs!$E$84*12),INDEX(Capex!$C$19:$E$19,1,Inputs!$E$13)/MAX(Inputs!$E$84,1)/12,0)+IF(AND(Inputs!$E$85&gt;0,O3&lt;=Inputs!$E$85*12),INDEX(Capex!$C$20:$E$20,1,Inputs!$E$13)/MAX(Inputs!$E$85,1)/12,0)+IF(AND(Inputs!$E$86&gt;0,O3&lt;=Inputs!$E$86*12),INDEX(Capex!$C$21:$E$21,1,Inputs!$E$13)/MAX(Inputs!$E$86,1)/12,0)+IF(AND(Inputs!$E$87&gt;0,O3&lt;=Inputs!$E$87*12),INDEX(Capex!$C$22:$E$22,1,Inputs!$E$13)/MAX(Inputs!$E$87,1)/12,0)+IF(AND(Inputs!$E$88&gt;0,O3&lt;=Inputs!$E$88*12),INDEX(Capex!$C$23:$E$23,1,Inputs!$E$13)/MAX(Inputs!$E$88,1)/12,0)+IF(AND(Inputs!$E$89&gt;0,O3&lt;=Inputs!$E$89*12),INDEX(Capex!$C$24:$E$24,1,Inputs!$E$13)/MAX(Inputs!$E$89,1)/12,0)+IF(AND(Inputs!$E$90&gt;0,O3&lt;=Inputs!$E$90*12),INDEX(Capex!$C$25:$E$25,1,Inputs!$E$13)/MAX(Inputs!$E$90,1)/12,0)</f>
        <v/>
      </c>
      <c r="P28" s="3">
        <f>IF(AND(Inputs!$E$84&gt;0,P3&lt;=Inputs!$E$84*12),INDEX(Capex!$C$19:$E$19,1,Inputs!$E$13)/MAX(Inputs!$E$84,1)/12,0)+IF(AND(Inputs!$E$85&gt;0,P3&lt;=Inputs!$E$85*12),INDEX(Capex!$C$20:$E$20,1,Inputs!$E$13)/MAX(Inputs!$E$85,1)/12,0)+IF(AND(Inputs!$E$86&gt;0,P3&lt;=Inputs!$E$86*12),INDEX(Capex!$C$21:$E$21,1,Inputs!$E$13)/MAX(Inputs!$E$86,1)/12,0)+IF(AND(Inputs!$E$87&gt;0,P3&lt;=Inputs!$E$87*12),INDEX(Capex!$C$22:$E$22,1,Inputs!$E$13)/MAX(Inputs!$E$87,1)/12,0)+IF(AND(Inputs!$E$88&gt;0,P3&lt;=Inputs!$E$88*12),INDEX(Capex!$C$23:$E$23,1,Inputs!$E$13)/MAX(Inputs!$E$88,1)/12,0)+IF(AND(Inputs!$E$89&gt;0,P3&lt;=Inputs!$E$89*12),INDEX(Capex!$C$24:$E$24,1,Inputs!$E$13)/MAX(Inputs!$E$89,1)/12,0)+IF(AND(Inputs!$E$90&gt;0,P3&lt;=Inputs!$E$90*12),INDEX(Capex!$C$25:$E$25,1,Inputs!$E$13)/MAX(Inputs!$E$90,1)/12,0)</f>
        <v/>
      </c>
      <c r="Q28" s="3">
        <f>IF(AND(Inputs!$E$84&gt;0,Q3&lt;=Inputs!$E$84*12),INDEX(Capex!$C$19:$E$19,1,Inputs!$E$13)/MAX(Inputs!$E$84,1)/12,0)+IF(AND(Inputs!$E$85&gt;0,Q3&lt;=Inputs!$E$85*12),INDEX(Capex!$C$20:$E$20,1,Inputs!$E$13)/MAX(Inputs!$E$85,1)/12,0)+IF(AND(Inputs!$E$86&gt;0,Q3&lt;=Inputs!$E$86*12),INDEX(Capex!$C$21:$E$21,1,Inputs!$E$13)/MAX(Inputs!$E$86,1)/12,0)+IF(AND(Inputs!$E$87&gt;0,Q3&lt;=Inputs!$E$87*12),INDEX(Capex!$C$22:$E$22,1,Inputs!$E$13)/MAX(Inputs!$E$87,1)/12,0)+IF(AND(Inputs!$E$88&gt;0,Q3&lt;=Inputs!$E$88*12),INDEX(Capex!$C$23:$E$23,1,Inputs!$E$13)/MAX(Inputs!$E$88,1)/12,0)+IF(AND(Inputs!$E$89&gt;0,Q3&lt;=Inputs!$E$89*12),INDEX(Capex!$C$24:$E$24,1,Inputs!$E$13)/MAX(Inputs!$E$89,1)/12,0)+IF(AND(Inputs!$E$90&gt;0,Q3&lt;=Inputs!$E$90*12),INDEX(Capex!$C$25:$E$25,1,Inputs!$E$13)/MAX(Inputs!$E$90,1)/12,0)</f>
        <v/>
      </c>
      <c r="R28" s="3">
        <f>IF(AND(Inputs!$E$84&gt;0,R3&lt;=Inputs!$E$84*12),INDEX(Capex!$C$19:$E$19,1,Inputs!$E$13)/MAX(Inputs!$E$84,1)/12,0)+IF(AND(Inputs!$E$85&gt;0,R3&lt;=Inputs!$E$85*12),INDEX(Capex!$C$20:$E$20,1,Inputs!$E$13)/MAX(Inputs!$E$85,1)/12,0)+IF(AND(Inputs!$E$86&gt;0,R3&lt;=Inputs!$E$86*12),INDEX(Capex!$C$21:$E$21,1,Inputs!$E$13)/MAX(Inputs!$E$86,1)/12,0)+IF(AND(Inputs!$E$87&gt;0,R3&lt;=Inputs!$E$87*12),INDEX(Capex!$C$22:$E$22,1,Inputs!$E$13)/MAX(Inputs!$E$87,1)/12,0)+IF(AND(Inputs!$E$88&gt;0,R3&lt;=Inputs!$E$88*12),INDEX(Capex!$C$23:$E$23,1,Inputs!$E$13)/MAX(Inputs!$E$88,1)/12,0)+IF(AND(Inputs!$E$89&gt;0,R3&lt;=Inputs!$E$89*12),INDEX(Capex!$C$24:$E$24,1,Inputs!$E$13)/MAX(Inputs!$E$89,1)/12,0)+IF(AND(Inputs!$E$90&gt;0,R3&lt;=Inputs!$E$90*12),INDEX(Capex!$C$25:$E$25,1,Inputs!$E$13)/MAX(Inputs!$E$90,1)/12,0)</f>
        <v/>
      </c>
      <c r="S28" s="3">
        <f>IF(AND(Inputs!$E$84&gt;0,S3&lt;=Inputs!$E$84*12),INDEX(Capex!$C$19:$E$19,1,Inputs!$E$13)/MAX(Inputs!$E$84,1)/12,0)+IF(AND(Inputs!$E$85&gt;0,S3&lt;=Inputs!$E$85*12),INDEX(Capex!$C$20:$E$20,1,Inputs!$E$13)/MAX(Inputs!$E$85,1)/12,0)+IF(AND(Inputs!$E$86&gt;0,S3&lt;=Inputs!$E$86*12),INDEX(Capex!$C$21:$E$21,1,Inputs!$E$13)/MAX(Inputs!$E$86,1)/12,0)+IF(AND(Inputs!$E$87&gt;0,S3&lt;=Inputs!$E$87*12),INDEX(Capex!$C$22:$E$22,1,Inputs!$E$13)/MAX(Inputs!$E$87,1)/12,0)+IF(AND(Inputs!$E$88&gt;0,S3&lt;=Inputs!$E$88*12),INDEX(Capex!$C$23:$E$23,1,Inputs!$E$13)/MAX(Inputs!$E$88,1)/12,0)+IF(AND(Inputs!$E$89&gt;0,S3&lt;=Inputs!$E$89*12),INDEX(Capex!$C$24:$E$24,1,Inputs!$E$13)/MAX(Inputs!$E$89,1)/12,0)+IF(AND(Inputs!$E$90&gt;0,S3&lt;=Inputs!$E$90*12),INDEX(Capex!$C$25:$E$25,1,Inputs!$E$13)/MAX(Inputs!$E$90,1)/12,0)</f>
        <v/>
      </c>
      <c r="T28" s="3">
        <f>IF(AND(Inputs!$E$84&gt;0,T3&lt;=Inputs!$E$84*12),INDEX(Capex!$C$19:$E$19,1,Inputs!$E$13)/MAX(Inputs!$E$84,1)/12,0)+IF(AND(Inputs!$E$85&gt;0,T3&lt;=Inputs!$E$85*12),INDEX(Capex!$C$20:$E$20,1,Inputs!$E$13)/MAX(Inputs!$E$85,1)/12,0)+IF(AND(Inputs!$E$86&gt;0,T3&lt;=Inputs!$E$86*12),INDEX(Capex!$C$21:$E$21,1,Inputs!$E$13)/MAX(Inputs!$E$86,1)/12,0)+IF(AND(Inputs!$E$87&gt;0,T3&lt;=Inputs!$E$87*12),INDEX(Capex!$C$22:$E$22,1,Inputs!$E$13)/MAX(Inputs!$E$87,1)/12,0)+IF(AND(Inputs!$E$88&gt;0,T3&lt;=Inputs!$E$88*12),INDEX(Capex!$C$23:$E$23,1,Inputs!$E$13)/MAX(Inputs!$E$88,1)/12,0)+IF(AND(Inputs!$E$89&gt;0,T3&lt;=Inputs!$E$89*12),INDEX(Capex!$C$24:$E$24,1,Inputs!$E$13)/MAX(Inputs!$E$89,1)/12,0)+IF(AND(Inputs!$E$90&gt;0,T3&lt;=Inputs!$E$90*12),INDEX(Capex!$C$25:$E$25,1,Inputs!$E$13)/MAX(Inputs!$E$90,1)/12,0)</f>
        <v/>
      </c>
      <c r="U28" s="3">
        <f>IF(AND(Inputs!$E$84&gt;0,U3&lt;=Inputs!$E$84*12),INDEX(Capex!$C$19:$E$19,1,Inputs!$E$13)/MAX(Inputs!$E$84,1)/12,0)+IF(AND(Inputs!$E$85&gt;0,U3&lt;=Inputs!$E$85*12),INDEX(Capex!$C$20:$E$20,1,Inputs!$E$13)/MAX(Inputs!$E$85,1)/12,0)+IF(AND(Inputs!$E$86&gt;0,U3&lt;=Inputs!$E$86*12),INDEX(Capex!$C$21:$E$21,1,Inputs!$E$13)/MAX(Inputs!$E$86,1)/12,0)+IF(AND(Inputs!$E$87&gt;0,U3&lt;=Inputs!$E$87*12),INDEX(Capex!$C$22:$E$22,1,Inputs!$E$13)/MAX(Inputs!$E$87,1)/12,0)+IF(AND(Inputs!$E$88&gt;0,U3&lt;=Inputs!$E$88*12),INDEX(Capex!$C$23:$E$23,1,Inputs!$E$13)/MAX(Inputs!$E$88,1)/12,0)+IF(AND(Inputs!$E$89&gt;0,U3&lt;=Inputs!$E$89*12),INDEX(Capex!$C$24:$E$24,1,Inputs!$E$13)/MAX(Inputs!$E$89,1)/12,0)+IF(AND(Inputs!$E$90&gt;0,U3&lt;=Inputs!$E$90*12),INDEX(Capex!$C$25:$E$25,1,Inputs!$E$13)/MAX(Inputs!$E$90,1)/12,0)</f>
        <v/>
      </c>
      <c r="V28" s="3">
        <f>IF(AND(Inputs!$E$84&gt;0,V3&lt;=Inputs!$E$84*12),INDEX(Capex!$C$19:$E$19,1,Inputs!$E$13)/MAX(Inputs!$E$84,1)/12,0)+IF(AND(Inputs!$E$85&gt;0,V3&lt;=Inputs!$E$85*12),INDEX(Capex!$C$20:$E$20,1,Inputs!$E$13)/MAX(Inputs!$E$85,1)/12,0)+IF(AND(Inputs!$E$86&gt;0,V3&lt;=Inputs!$E$86*12),INDEX(Capex!$C$21:$E$21,1,Inputs!$E$13)/MAX(Inputs!$E$86,1)/12,0)+IF(AND(Inputs!$E$87&gt;0,V3&lt;=Inputs!$E$87*12),INDEX(Capex!$C$22:$E$22,1,Inputs!$E$13)/MAX(Inputs!$E$87,1)/12,0)+IF(AND(Inputs!$E$88&gt;0,V3&lt;=Inputs!$E$88*12),INDEX(Capex!$C$23:$E$23,1,Inputs!$E$13)/MAX(Inputs!$E$88,1)/12,0)+IF(AND(Inputs!$E$89&gt;0,V3&lt;=Inputs!$E$89*12),INDEX(Capex!$C$24:$E$24,1,Inputs!$E$13)/MAX(Inputs!$E$89,1)/12,0)+IF(AND(Inputs!$E$90&gt;0,V3&lt;=Inputs!$E$90*12),INDEX(Capex!$C$25:$E$25,1,Inputs!$E$13)/MAX(Inputs!$E$90,1)/12,0)</f>
        <v/>
      </c>
      <c r="W28" s="3">
        <f>IF(AND(Inputs!$E$84&gt;0,W3&lt;=Inputs!$E$84*12),INDEX(Capex!$C$19:$E$19,1,Inputs!$E$13)/MAX(Inputs!$E$84,1)/12,0)+IF(AND(Inputs!$E$85&gt;0,W3&lt;=Inputs!$E$85*12),INDEX(Capex!$C$20:$E$20,1,Inputs!$E$13)/MAX(Inputs!$E$85,1)/12,0)+IF(AND(Inputs!$E$86&gt;0,W3&lt;=Inputs!$E$86*12),INDEX(Capex!$C$21:$E$21,1,Inputs!$E$13)/MAX(Inputs!$E$86,1)/12,0)+IF(AND(Inputs!$E$87&gt;0,W3&lt;=Inputs!$E$87*12),INDEX(Capex!$C$22:$E$22,1,Inputs!$E$13)/MAX(Inputs!$E$87,1)/12,0)+IF(AND(Inputs!$E$88&gt;0,W3&lt;=Inputs!$E$88*12),INDEX(Capex!$C$23:$E$23,1,Inputs!$E$13)/MAX(Inputs!$E$88,1)/12,0)+IF(AND(Inputs!$E$89&gt;0,W3&lt;=Inputs!$E$89*12),INDEX(Capex!$C$24:$E$24,1,Inputs!$E$13)/MAX(Inputs!$E$89,1)/12,0)+IF(AND(Inputs!$E$90&gt;0,W3&lt;=Inputs!$E$90*12),INDEX(Capex!$C$25:$E$25,1,Inputs!$E$13)/MAX(Inputs!$E$90,1)/12,0)</f>
        <v/>
      </c>
      <c r="X28" s="3">
        <f>IF(AND(Inputs!$E$84&gt;0,X3&lt;=Inputs!$E$84*12),INDEX(Capex!$C$19:$E$19,1,Inputs!$E$13)/MAX(Inputs!$E$84,1)/12,0)+IF(AND(Inputs!$E$85&gt;0,X3&lt;=Inputs!$E$85*12),INDEX(Capex!$C$20:$E$20,1,Inputs!$E$13)/MAX(Inputs!$E$85,1)/12,0)+IF(AND(Inputs!$E$86&gt;0,X3&lt;=Inputs!$E$86*12),INDEX(Capex!$C$21:$E$21,1,Inputs!$E$13)/MAX(Inputs!$E$86,1)/12,0)+IF(AND(Inputs!$E$87&gt;0,X3&lt;=Inputs!$E$87*12),INDEX(Capex!$C$22:$E$22,1,Inputs!$E$13)/MAX(Inputs!$E$87,1)/12,0)+IF(AND(Inputs!$E$88&gt;0,X3&lt;=Inputs!$E$88*12),INDEX(Capex!$C$23:$E$23,1,Inputs!$E$13)/MAX(Inputs!$E$88,1)/12,0)+IF(AND(Inputs!$E$89&gt;0,X3&lt;=Inputs!$E$89*12),INDEX(Capex!$C$24:$E$24,1,Inputs!$E$13)/MAX(Inputs!$E$89,1)/12,0)+IF(AND(Inputs!$E$90&gt;0,X3&lt;=Inputs!$E$90*12),INDEX(Capex!$C$25:$E$25,1,Inputs!$E$13)/MAX(Inputs!$E$90,1)/12,0)</f>
        <v/>
      </c>
      <c r="Y28" s="3">
        <f>IF(AND(Inputs!$E$84&gt;0,Y3&lt;=Inputs!$E$84*12),INDEX(Capex!$C$19:$E$19,1,Inputs!$E$13)/MAX(Inputs!$E$84,1)/12,0)+IF(AND(Inputs!$E$85&gt;0,Y3&lt;=Inputs!$E$85*12),INDEX(Capex!$C$20:$E$20,1,Inputs!$E$13)/MAX(Inputs!$E$85,1)/12,0)+IF(AND(Inputs!$E$86&gt;0,Y3&lt;=Inputs!$E$86*12),INDEX(Capex!$C$21:$E$21,1,Inputs!$E$13)/MAX(Inputs!$E$86,1)/12,0)+IF(AND(Inputs!$E$87&gt;0,Y3&lt;=Inputs!$E$87*12),INDEX(Capex!$C$22:$E$22,1,Inputs!$E$13)/MAX(Inputs!$E$87,1)/12,0)+IF(AND(Inputs!$E$88&gt;0,Y3&lt;=Inputs!$E$88*12),INDEX(Capex!$C$23:$E$23,1,Inputs!$E$13)/MAX(Inputs!$E$88,1)/12,0)+IF(AND(Inputs!$E$89&gt;0,Y3&lt;=Inputs!$E$89*12),INDEX(Capex!$C$24:$E$24,1,Inputs!$E$13)/MAX(Inputs!$E$89,1)/12,0)+IF(AND(Inputs!$E$90&gt;0,Y3&lt;=Inputs!$E$90*12),INDEX(Capex!$C$25:$E$25,1,Inputs!$E$13)/MAX(Inputs!$E$90,1)/12,0)</f>
        <v/>
      </c>
      <c r="Z28" s="3">
        <f>IF(AND(Inputs!$E$84&gt;0,Z3&lt;=Inputs!$E$84*12),INDEX(Capex!$C$19:$E$19,1,Inputs!$E$13)/MAX(Inputs!$E$84,1)/12,0)+IF(AND(Inputs!$E$85&gt;0,Z3&lt;=Inputs!$E$85*12),INDEX(Capex!$C$20:$E$20,1,Inputs!$E$13)/MAX(Inputs!$E$85,1)/12,0)+IF(AND(Inputs!$E$86&gt;0,Z3&lt;=Inputs!$E$86*12),INDEX(Capex!$C$21:$E$21,1,Inputs!$E$13)/MAX(Inputs!$E$86,1)/12,0)+IF(AND(Inputs!$E$87&gt;0,Z3&lt;=Inputs!$E$87*12),INDEX(Capex!$C$22:$E$22,1,Inputs!$E$13)/MAX(Inputs!$E$87,1)/12,0)+IF(AND(Inputs!$E$88&gt;0,Z3&lt;=Inputs!$E$88*12),INDEX(Capex!$C$23:$E$23,1,Inputs!$E$13)/MAX(Inputs!$E$88,1)/12,0)+IF(AND(Inputs!$E$89&gt;0,Z3&lt;=Inputs!$E$89*12),INDEX(Capex!$C$24:$E$24,1,Inputs!$E$13)/MAX(Inputs!$E$89,1)/12,0)+IF(AND(Inputs!$E$90&gt;0,Z3&lt;=Inputs!$E$90*12),INDEX(Capex!$C$25:$E$25,1,Inputs!$E$13)/MAX(Inputs!$E$90,1)/12,0)</f>
        <v/>
      </c>
      <c r="AA28" s="3">
        <f>IF(AND(Inputs!$E$84&gt;0,AA3&lt;=Inputs!$E$84*12),INDEX(Capex!$C$19:$E$19,1,Inputs!$E$13)/MAX(Inputs!$E$84,1)/12,0)+IF(AND(Inputs!$E$85&gt;0,AA3&lt;=Inputs!$E$85*12),INDEX(Capex!$C$20:$E$20,1,Inputs!$E$13)/MAX(Inputs!$E$85,1)/12,0)+IF(AND(Inputs!$E$86&gt;0,AA3&lt;=Inputs!$E$86*12),INDEX(Capex!$C$21:$E$21,1,Inputs!$E$13)/MAX(Inputs!$E$86,1)/12,0)+IF(AND(Inputs!$E$87&gt;0,AA3&lt;=Inputs!$E$87*12),INDEX(Capex!$C$22:$E$22,1,Inputs!$E$13)/MAX(Inputs!$E$87,1)/12,0)+IF(AND(Inputs!$E$88&gt;0,AA3&lt;=Inputs!$E$88*12),INDEX(Capex!$C$23:$E$23,1,Inputs!$E$13)/MAX(Inputs!$E$88,1)/12,0)+IF(AND(Inputs!$E$89&gt;0,AA3&lt;=Inputs!$E$89*12),INDEX(Capex!$C$24:$E$24,1,Inputs!$E$13)/MAX(Inputs!$E$89,1)/12,0)+IF(AND(Inputs!$E$90&gt;0,AA3&lt;=Inputs!$E$90*12),INDEX(Capex!$C$25:$E$25,1,Inputs!$E$13)/MAX(Inputs!$E$90,1)/12,0)</f>
        <v/>
      </c>
      <c r="AB28" s="3">
        <f>IF(AND(Inputs!$E$84&gt;0,AB3&lt;=Inputs!$E$84*12),INDEX(Capex!$C$19:$E$19,1,Inputs!$E$13)/MAX(Inputs!$E$84,1)/12,0)+IF(AND(Inputs!$E$85&gt;0,AB3&lt;=Inputs!$E$85*12),INDEX(Capex!$C$20:$E$20,1,Inputs!$E$13)/MAX(Inputs!$E$85,1)/12,0)+IF(AND(Inputs!$E$86&gt;0,AB3&lt;=Inputs!$E$86*12),INDEX(Capex!$C$21:$E$21,1,Inputs!$E$13)/MAX(Inputs!$E$86,1)/12,0)+IF(AND(Inputs!$E$87&gt;0,AB3&lt;=Inputs!$E$87*12),INDEX(Capex!$C$22:$E$22,1,Inputs!$E$13)/MAX(Inputs!$E$87,1)/12,0)+IF(AND(Inputs!$E$88&gt;0,AB3&lt;=Inputs!$E$88*12),INDEX(Capex!$C$23:$E$23,1,Inputs!$E$13)/MAX(Inputs!$E$88,1)/12,0)+IF(AND(Inputs!$E$89&gt;0,AB3&lt;=Inputs!$E$89*12),INDEX(Capex!$C$24:$E$24,1,Inputs!$E$13)/MAX(Inputs!$E$89,1)/12,0)+IF(AND(Inputs!$E$90&gt;0,AB3&lt;=Inputs!$E$90*12),INDEX(Capex!$C$25:$E$25,1,Inputs!$E$13)/MAX(Inputs!$E$90,1)/12,0)</f>
        <v/>
      </c>
      <c r="AC28" s="3">
        <f>IF(AND(Inputs!$E$84&gt;0,AC3&lt;=Inputs!$E$84*12),INDEX(Capex!$C$19:$E$19,1,Inputs!$E$13)/MAX(Inputs!$E$84,1)/12,0)+IF(AND(Inputs!$E$85&gt;0,AC3&lt;=Inputs!$E$85*12),INDEX(Capex!$C$20:$E$20,1,Inputs!$E$13)/MAX(Inputs!$E$85,1)/12,0)+IF(AND(Inputs!$E$86&gt;0,AC3&lt;=Inputs!$E$86*12),INDEX(Capex!$C$21:$E$21,1,Inputs!$E$13)/MAX(Inputs!$E$86,1)/12,0)+IF(AND(Inputs!$E$87&gt;0,AC3&lt;=Inputs!$E$87*12),INDEX(Capex!$C$22:$E$22,1,Inputs!$E$13)/MAX(Inputs!$E$87,1)/12,0)+IF(AND(Inputs!$E$88&gt;0,AC3&lt;=Inputs!$E$88*12),INDEX(Capex!$C$23:$E$23,1,Inputs!$E$13)/MAX(Inputs!$E$88,1)/12,0)+IF(AND(Inputs!$E$89&gt;0,AC3&lt;=Inputs!$E$89*12),INDEX(Capex!$C$24:$E$24,1,Inputs!$E$13)/MAX(Inputs!$E$89,1)/12,0)+IF(AND(Inputs!$E$90&gt;0,AC3&lt;=Inputs!$E$90*12),INDEX(Capex!$C$25:$E$25,1,Inputs!$E$13)/MAX(Inputs!$E$90,1)/12,0)</f>
        <v/>
      </c>
      <c r="AD28" s="3">
        <f>IF(AND(Inputs!$E$84&gt;0,AD3&lt;=Inputs!$E$84*12),INDEX(Capex!$C$19:$E$19,1,Inputs!$E$13)/MAX(Inputs!$E$84,1)/12,0)+IF(AND(Inputs!$E$85&gt;0,AD3&lt;=Inputs!$E$85*12),INDEX(Capex!$C$20:$E$20,1,Inputs!$E$13)/MAX(Inputs!$E$85,1)/12,0)+IF(AND(Inputs!$E$86&gt;0,AD3&lt;=Inputs!$E$86*12),INDEX(Capex!$C$21:$E$21,1,Inputs!$E$13)/MAX(Inputs!$E$86,1)/12,0)+IF(AND(Inputs!$E$87&gt;0,AD3&lt;=Inputs!$E$87*12),INDEX(Capex!$C$22:$E$22,1,Inputs!$E$13)/MAX(Inputs!$E$87,1)/12,0)+IF(AND(Inputs!$E$88&gt;0,AD3&lt;=Inputs!$E$88*12),INDEX(Capex!$C$23:$E$23,1,Inputs!$E$13)/MAX(Inputs!$E$88,1)/12,0)+IF(AND(Inputs!$E$89&gt;0,AD3&lt;=Inputs!$E$89*12),INDEX(Capex!$C$24:$E$24,1,Inputs!$E$13)/MAX(Inputs!$E$89,1)/12,0)+IF(AND(Inputs!$E$90&gt;0,AD3&lt;=Inputs!$E$90*12),INDEX(Capex!$C$25:$E$25,1,Inputs!$E$13)/MAX(Inputs!$E$90,1)/12,0)</f>
        <v/>
      </c>
      <c r="AE28" s="3">
        <f>IF(AND(Inputs!$E$84&gt;0,AE3&lt;=Inputs!$E$84*12),INDEX(Capex!$C$19:$E$19,1,Inputs!$E$13)/MAX(Inputs!$E$84,1)/12,0)+IF(AND(Inputs!$E$85&gt;0,AE3&lt;=Inputs!$E$85*12),INDEX(Capex!$C$20:$E$20,1,Inputs!$E$13)/MAX(Inputs!$E$85,1)/12,0)+IF(AND(Inputs!$E$86&gt;0,AE3&lt;=Inputs!$E$86*12),INDEX(Capex!$C$21:$E$21,1,Inputs!$E$13)/MAX(Inputs!$E$86,1)/12,0)+IF(AND(Inputs!$E$87&gt;0,AE3&lt;=Inputs!$E$87*12),INDEX(Capex!$C$22:$E$22,1,Inputs!$E$13)/MAX(Inputs!$E$87,1)/12,0)+IF(AND(Inputs!$E$88&gt;0,AE3&lt;=Inputs!$E$88*12),INDEX(Capex!$C$23:$E$23,1,Inputs!$E$13)/MAX(Inputs!$E$88,1)/12,0)+IF(AND(Inputs!$E$89&gt;0,AE3&lt;=Inputs!$E$89*12),INDEX(Capex!$C$24:$E$24,1,Inputs!$E$13)/MAX(Inputs!$E$89,1)/12,0)+IF(AND(Inputs!$E$90&gt;0,AE3&lt;=Inputs!$E$90*12),INDEX(Capex!$C$25:$E$25,1,Inputs!$E$13)/MAX(Inputs!$E$90,1)/12,0)</f>
        <v/>
      </c>
      <c r="AF28" s="3">
        <f>IF(AND(Inputs!$E$84&gt;0,AF3&lt;=Inputs!$E$84*12),INDEX(Capex!$C$19:$E$19,1,Inputs!$E$13)/MAX(Inputs!$E$84,1)/12,0)+IF(AND(Inputs!$E$85&gt;0,AF3&lt;=Inputs!$E$85*12),INDEX(Capex!$C$20:$E$20,1,Inputs!$E$13)/MAX(Inputs!$E$85,1)/12,0)+IF(AND(Inputs!$E$86&gt;0,AF3&lt;=Inputs!$E$86*12),INDEX(Capex!$C$21:$E$21,1,Inputs!$E$13)/MAX(Inputs!$E$86,1)/12,0)+IF(AND(Inputs!$E$87&gt;0,AF3&lt;=Inputs!$E$87*12),INDEX(Capex!$C$22:$E$22,1,Inputs!$E$13)/MAX(Inputs!$E$87,1)/12,0)+IF(AND(Inputs!$E$88&gt;0,AF3&lt;=Inputs!$E$88*12),INDEX(Capex!$C$23:$E$23,1,Inputs!$E$13)/MAX(Inputs!$E$88,1)/12,0)+IF(AND(Inputs!$E$89&gt;0,AF3&lt;=Inputs!$E$89*12),INDEX(Capex!$C$24:$E$24,1,Inputs!$E$13)/MAX(Inputs!$E$89,1)/12,0)+IF(AND(Inputs!$E$90&gt;0,AF3&lt;=Inputs!$E$90*12),INDEX(Capex!$C$25:$E$25,1,Inputs!$E$13)/MAX(Inputs!$E$90,1)/12,0)</f>
        <v/>
      </c>
      <c r="AG28" s="3">
        <f>IF(AND(Inputs!$E$84&gt;0,AG3&lt;=Inputs!$E$84*12),INDEX(Capex!$C$19:$E$19,1,Inputs!$E$13)/MAX(Inputs!$E$84,1)/12,0)+IF(AND(Inputs!$E$85&gt;0,AG3&lt;=Inputs!$E$85*12),INDEX(Capex!$C$20:$E$20,1,Inputs!$E$13)/MAX(Inputs!$E$85,1)/12,0)+IF(AND(Inputs!$E$86&gt;0,AG3&lt;=Inputs!$E$86*12),INDEX(Capex!$C$21:$E$21,1,Inputs!$E$13)/MAX(Inputs!$E$86,1)/12,0)+IF(AND(Inputs!$E$87&gt;0,AG3&lt;=Inputs!$E$87*12),INDEX(Capex!$C$22:$E$22,1,Inputs!$E$13)/MAX(Inputs!$E$87,1)/12,0)+IF(AND(Inputs!$E$88&gt;0,AG3&lt;=Inputs!$E$88*12),INDEX(Capex!$C$23:$E$23,1,Inputs!$E$13)/MAX(Inputs!$E$88,1)/12,0)+IF(AND(Inputs!$E$89&gt;0,AG3&lt;=Inputs!$E$89*12),INDEX(Capex!$C$24:$E$24,1,Inputs!$E$13)/MAX(Inputs!$E$89,1)/12,0)+IF(AND(Inputs!$E$90&gt;0,AG3&lt;=Inputs!$E$90*12),INDEX(Capex!$C$25:$E$25,1,Inputs!$E$13)/MAX(Inputs!$E$90,1)/12,0)</f>
        <v/>
      </c>
      <c r="AH28" s="3">
        <f>IF(AND(Inputs!$E$84&gt;0,AH3&lt;=Inputs!$E$84*12),INDEX(Capex!$C$19:$E$19,1,Inputs!$E$13)/MAX(Inputs!$E$84,1)/12,0)+IF(AND(Inputs!$E$85&gt;0,AH3&lt;=Inputs!$E$85*12),INDEX(Capex!$C$20:$E$20,1,Inputs!$E$13)/MAX(Inputs!$E$85,1)/12,0)+IF(AND(Inputs!$E$86&gt;0,AH3&lt;=Inputs!$E$86*12),INDEX(Capex!$C$21:$E$21,1,Inputs!$E$13)/MAX(Inputs!$E$86,1)/12,0)+IF(AND(Inputs!$E$87&gt;0,AH3&lt;=Inputs!$E$87*12),INDEX(Capex!$C$22:$E$22,1,Inputs!$E$13)/MAX(Inputs!$E$87,1)/12,0)+IF(AND(Inputs!$E$88&gt;0,AH3&lt;=Inputs!$E$88*12),INDEX(Capex!$C$23:$E$23,1,Inputs!$E$13)/MAX(Inputs!$E$88,1)/12,0)+IF(AND(Inputs!$E$89&gt;0,AH3&lt;=Inputs!$E$89*12),INDEX(Capex!$C$24:$E$24,1,Inputs!$E$13)/MAX(Inputs!$E$89,1)/12,0)+IF(AND(Inputs!$E$90&gt;0,AH3&lt;=Inputs!$E$90*12),INDEX(Capex!$C$25:$E$25,1,Inputs!$E$13)/MAX(Inputs!$E$90,1)/12,0)</f>
        <v/>
      </c>
      <c r="AI28" s="3">
        <f>IF(AND(Inputs!$E$84&gt;0,AI3&lt;=Inputs!$E$84*12),INDEX(Capex!$C$19:$E$19,1,Inputs!$E$13)/MAX(Inputs!$E$84,1)/12,0)+IF(AND(Inputs!$E$85&gt;0,AI3&lt;=Inputs!$E$85*12),INDEX(Capex!$C$20:$E$20,1,Inputs!$E$13)/MAX(Inputs!$E$85,1)/12,0)+IF(AND(Inputs!$E$86&gt;0,AI3&lt;=Inputs!$E$86*12),INDEX(Capex!$C$21:$E$21,1,Inputs!$E$13)/MAX(Inputs!$E$86,1)/12,0)+IF(AND(Inputs!$E$87&gt;0,AI3&lt;=Inputs!$E$87*12),INDEX(Capex!$C$22:$E$22,1,Inputs!$E$13)/MAX(Inputs!$E$87,1)/12,0)+IF(AND(Inputs!$E$88&gt;0,AI3&lt;=Inputs!$E$88*12),INDEX(Capex!$C$23:$E$23,1,Inputs!$E$13)/MAX(Inputs!$E$88,1)/12,0)+IF(AND(Inputs!$E$89&gt;0,AI3&lt;=Inputs!$E$89*12),INDEX(Capex!$C$24:$E$24,1,Inputs!$E$13)/MAX(Inputs!$E$89,1)/12,0)+IF(AND(Inputs!$E$90&gt;0,AI3&lt;=Inputs!$E$90*12),INDEX(Capex!$C$25:$E$25,1,Inputs!$E$13)/MAX(Inputs!$E$90,1)/12,0)</f>
        <v/>
      </c>
      <c r="AJ28" s="3">
        <f>IF(AND(Inputs!$E$84&gt;0,AJ3&lt;=Inputs!$E$84*12),INDEX(Capex!$C$19:$E$19,1,Inputs!$E$13)/MAX(Inputs!$E$84,1)/12,0)+IF(AND(Inputs!$E$85&gt;0,AJ3&lt;=Inputs!$E$85*12),INDEX(Capex!$C$20:$E$20,1,Inputs!$E$13)/MAX(Inputs!$E$85,1)/12,0)+IF(AND(Inputs!$E$86&gt;0,AJ3&lt;=Inputs!$E$86*12),INDEX(Capex!$C$21:$E$21,1,Inputs!$E$13)/MAX(Inputs!$E$86,1)/12,0)+IF(AND(Inputs!$E$87&gt;0,AJ3&lt;=Inputs!$E$87*12),INDEX(Capex!$C$22:$E$22,1,Inputs!$E$13)/MAX(Inputs!$E$87,1)/12,0)+IF(AND(Inputs!$E$88&gt;0,AJ3&lt;=Inputs!$E$88*12),INDEX(Capex!$C$23:$E$23,1,Inputs!$E$13)/MAX(Inputs!$E$88,1)/12,0)+IF(AND(Inputs!$E$89&gt;0,AJ3&lt;=Inputs!$E$89*12),INDEX(Capex!$C$24:$E$24,1,Inputs!$E$13)/MAX(Inputs!$E$89,1)/12,0)+IF(AND(Inputs!$E$90&gt;0,AJ3&lt;=Inputs!$E$90*12),INDEX(Capex!$C$25:$E$25,1,Inputs!$E$13)/MAX(Inputs!$E$90,1)/12,0)</f>
        <v/>
      </c>
      <c r="AK28" s="3">
        <f>IF(AND(Inputs!$E$84&gt;0,AK3&lt;=Inputs!$E$84*12),INDEX(Capex!$C$19:$E$19,1,Inputs!$E$13)/MAX(Inputs!$E$84,1)/12,0)+IF(AND(Inputs!$E$85&gt;0,AK3&lt;=Inputs!$E$85*12),INDEX(Capex!$C$20:$E$20,1,Inputs!$E$13)/MAX(Inputs!$E$85,1)/12,0)+IF(AND(Inputs!$E$86&gt;0,AK3&lt;=Inputs!$E$86*12),INDEX(Capex!$C$21:$E$21,1,Inputs!$E$13)/MAX(Inputs!$E$86,1)/12,0)+IF(AND(Inputs!$E$87&gt;0,AK3&lt;=Inputs!$E$87*12),INDEX(Capex!$C$22:$E$22,1,Inputs!$E$13)/MAX(Inputs!$E$87,1)/12,0)+IF(AND(Inputs!$E$88&gt;0,AK3&lt;=Inputs!$E$88*12),INDEX(Capex!$C$23:$E$23,1,Inputs!$E$13)/MAX(Inputs!$E$88,1)/12,0)+IF(AND(Inputs!$E$89&gt;0,AK3&lt;=Inputs!$E$89*12),INDEX(Capex!$C$24:$E$24,1,Inputs!$E$13)/MAX(Inputs!$E$89,1)/12,0)+IF(AND(Inputs!$E$90&gt;0,AK3&lt;=Inputs!$E$90*12),INDEX(Capex!$C$25:$E$25,1,Inputs!$E$13)/MAX(Inputs!$E$90,1)/12,0)</f>
        <v/>
      </c>
      <c r="AL28" s="3">
        <f>IF(AND(Inputs!$E$84&gt;0,AL3&lt;=Inputs!$E$84*12),INDEX(Capex!$C$19:$E$19,1,Inputs!$E$13)/MAX(Inputs!$E$84,1)/12,0)+IF(AND(Inputs!$E$85&gt;0,AL3&lt;=Inputs!$E$85*12),INDEX(Capex!$C$20:$E$20,1,Inputs!$E$13)/MAX(Inputs!$E$85,1)/12,0)+IF(AND(Inputs!$E$86&gt;0,AL3&lt;=Inputs!$E$86*12),INDEX(Capex!$C$21:$E$21,1,Inputs!$E$13)/MAX(Inputs!$E$86,1)/12,0)+IF(AND(Inputs!$E$87&gt;0,AL3&lt;=Inputs!$E$87*12),INDEX(Capex!$C$22:$E$22,1,Inputs!$E$13)/MAX(Inputs!$E$87,1)/12,0)+IF(AND(Inputs!$E$88&gt;0,AL3&lt;=Inputs!$E$88*12),INDEX(Capex!$C$23:$E$23,1,Inputs!$E$13)/MAX(Inputs!$E$88,1)/12,0)+IF(AND(Inputs!$E$89&gt;0,AL3&lt;=Inputs!$E$89*12),INDEX(Capex!$C$24:$E$24,1,Inputs!$E$13)/MAX(Inputs!$E$89,1)/12,0)+IF(AND(Inputs!$E$90&gt;0,AL3&lt;=Inputs!$E$90*12),INDEX(Capex!$C$25:$E$25,1,Inputs!$E$13)/MAX(Inputs!$E$90,1)/12,0)</f>
        <v/>
      </c>
      <c r="AM28" s="3">
        <f>IF(AND(Inputs!$E$84&gt;0,AM3&lt;=Inputs!$E$84*12),INDEX(Capex!$C$19:$E$19,1,Inputs!$E$13)/MAX(Inputs!$E$84,1)/12,0)+IF(AND(Inputs!$E$85&gt;0,AM3&lt;=Inputs!$E$85*12),INDEX(Capex!$C$20:$E$20,1,Inputs!$E$13)/MAX(Inputs!$E$85,1)/12,0)+IF(AND(Inputs!$E$86&gt;0,AM3&lt;=Inputs!$E$86*12),INDEX(Capex!$C$21:$E$21,1,Inputs!$E$13)/MAX(Inputs!$E$86,1)/12,0)+IF(AND(Inputs!$E$87&gt;0,AM3&lt;=Inputs!$E$87*12),INDEX(Capex!$C$22:$E$22,1,Inputs!$E$13)/MAX(Inputs!$E$87,1)/12,0)+IF(AND(Inputs!$E$88&gt;0,AM3&lt;=Inputs!$E$88*12),INDEX(Capex!$C$23:$E$23,1,Inputs!$E$13)/MAX(Inputs!$E$88,1)/12,0)+IF(AND(Inputs!$E$89&gt;0,AM3&lt;=Inputs!$E$89*12),INDEX(Capex!$C$24:$E$24,1,Inputs!$E$13)/MAX(Inputs!$E$89,1)/12,0)+IF(AND(Inputs!$E$90&gt;0,AM3&lt;=Inputs!$E$90*12),INDEX(Capex!$C$25:$E$25,1,Inputs!$E$13)/MAX(Inputs!$E$90,1)/12,0)</f>
        <v/>
      </c>
      <c r="AN28" s="3">
        <f>IF(AND(Inputs!$E$84&gt;0,AN3&lt;=Inputs!$E$84*12),INDEX(Capex!$C$19:$E$19,1,Inputs!$E$13)/MAX(Inputs!$E$84,1)/12,0)+IF(AND(Inputs!$E$85&gt;0,AN3&lt;=Inputs!$E$85*12),INDEX(Capex!$C$20:$E$20,1,Inputs!$E$13)/MAX(Inputs!$E$85,1)/12,0)+IF(AND(Inputs!$E$86&gt;0,AN3&lt;=Inputs!$E$86*12),INDEX(Capex!$C$21:$E$21,1,Inputs!$E$13)/MAX(Inputs!$E$86,1)/12,0)+IF(AND(Inputs!$E$87&gt;0,AN3&lt;=Inputs!$E$87*12),INDEX(Capex!$C$22:$E$22,1,Inputs!$E$13)/MAX(Inputs!$E$87,1)/12,0)+IF(AND(Inputs!$E$88&gt;0,AN3&lt;=Inputs!$E$88*12),INDEX(Capex!$C$23:$E$23,1,Inputs!$E$13)/MAX(Inputs!$E$88,1)/12,0)+IF(AND(Inputs!$E$89&gt;0,AN3&lt;=Inputs!$E$89*12),INDEX(Capex!$C$24:$E$24,1,Inputs!$E$13)/MAX(Inputs!$E$89,1)/12,0)+IF(AND(Inputs!$E$90&gt;0,AN3&lt;=Inputs!$E$90*12),INDEX(Capex!$C$25:$E$25,1,Inputs!$E$13)/MAX(Inputs!$E$90,1)/12,0)</f>
        <v/>
      </c>
      <c r="AO28" s="3">
        <f>IF(AND(Inputs!$E$84&gt;0,AO3&lt;=Inputs!$E$84*12),INDEX(Capex!$C$19:$E$19,1,Inputs!$E$13)/MAX(Inputs!$E$84,1)/12,0)+IF(AND(Inputs!$E$85&gt;0,AO3&lt;=Inputs!$E$85*12),INDEX(Capex!$C$20:$E$20,1,Inputs!$E$13)/MAX(Inputs!$E$85,1)/12,0)+IF(AND(Inputs!$E$86&gt;0,AO3&lt;=Inputs!$E$86*12),INDEX(Capex!$C$21:$E$21,1,Inputs!$E$13)/MAX(Inputs!$E$86,1)/12,0)+IF(AND(Inputs!$E$87&gt;0,AO3&lt;=Inputs!$E$87*12),INDEX(Capex!$C$22:$E$22,1,Inputs!$E$13)/MAX(Inputs!$E$87,1)/12,0)+IF(AND(Inputs!$E$88&gt;0,AO3&lt;=Inputs!$E$88*12),INDEX(Capex!$C$23:$E$23,1,Inputs!$E$13)/MAX(Inputs!$E$88,1)/12,0)+IF(AND(Inputs!$E$89&gt;0,AO3&lt;=Inputs!$E$89*12),INDEX(Capex!$C$24:$E$24,1,Inputs!$E$13)/MAX(Inputs!$E$89,1)/12,0)+IF(AND(Inputs!$E$90&gt;0,AO3&lt;=Inputs!$E$90*12),INDEX(Capex!$C$25:$E$25,1,Inputs!$E$13)/MAX(Inputs!$E$90,1)/12,0)</f>
        <v/>
      </c>
      <c r="AP28" s="3">
        <f>IF(AND(Inputs!$E$84&gt;0,AP3&lt;=Inputs!$E$84*12),INDEX(Capex!$C$19:$E$19,1,Inputs!$E$13)/MAX(Inputs!$E$84,1)/12,0)+IF(AND(Inputs!$E$85&gt;0,AP3&lt;=Inputs!$E$85*12),INDEX(Capex!$C$20:$E$20,1,Inputs!$E$13)/MAX(Inputs!$E$85,1)/12,0)+IF(AND(Inputs!$E$86&gt;0,AP3&lt;=Inputs!$E$86*12),INDEX(Capex!$C$21:$E$21,1,Inputs!$E$13)/MAX(Inputs!$E$86,1)/12,0)+IF(AND(Inputs!$E$87&gt;0,AP3&lt;=Inputs!$E$87*12),INDEX(Capex!$C$22:$E$22,1,Inputs!$E$13)/MAX(Inputs!$E$87,1)/12,0)+IF(AND(Inputs!$E$88&gt;0,AP3&lt;=Inputs!$E$88*12),INDEX(Capex!$C$23:$E$23,1,Inputs!$E$13)/MAX(Inputs!$E$88,1)/12,0)+IF(AND(Inputs!$E$89&gt;0,AP3&lt;=Inputs!$E$89*12),INDEX(Capex!$C$24:$E$24,1,Inputs!$E$13)/MAX(Inputs!$E$89,1)/12,0)+IF(AND(Inputs!$E$90&gt;0,AP3&lt;=Inputs!$E$90*12),INDEX(Capex!$C$25:$E$25,1,Inputs!$E$13)/MAX(Inputs!$E$90,1)/12,0)</f>
        <v/>
      </c>
      <c r="AQ28" s="3">
        <f>IF(AND(Inputs!$E$84&gt;0,AQ3&lt;=Inputs!$E$84*12),INDEX(Capex!$C$19:$E$19,1,Inputs!$E$13)/MAX(Inputs!$E$84,1)/12,0)+IF(AND(Inputs!$E$85&gt;0,AQ3&lt;=Inputs!$E$85*12),INDEX(Capex!$C$20:$E$20,1,Inputs!$E$13)/MAX(Inputs!$E$85,1)/12,0)+IF(AND(Inputs!$E$86&gt;0,AQ3&lt;=Inputs!$E$86*12),INDEX(Capex!$C$21:$E$21,1,Inputs!$E$13)/MAX(Inputs!$E$86,1)/12,0)+IF(AND(Inputs!$E$87&gt;0,AQ3&lt;=Inputs!$E$87*12),INDEX(Capex!$C$22:$E$22,1,Inputs!$E$13)/MAX(Inputs!$E$87,1)/12,0)+IF(AND(Inputs!$E$88&gt;0,AQ3&lt;=Inputs!$E$88*12),INDEX(Capex!$C$23:$E$23,1,Inputs!$E$13)/MAX(Inputs!$E$88,1)/12,0)+IF(AND(Inputs!$E$89&gt;0,AQ3&lt;=Inputs!$E$89*12),INDEX(Capex!$C$24:$E$24,1,Inputs!$E$13)/MAX(Inputs!$E$89,1)/12,0)+IF(AND(Inputs!$E$90&gt;0,AQ3&lt;=Inputs!$E$90*12),INDEX(Capex!$C$25:$E$25,1,Inputs!$E$13)/MAX(Inputs!$E$90,1)/12,0)</f>
        <v/>
      </c>
      <c r="AR28" s="3">
        <f>IF(AND(Inputs!$E$84&gt;0,AR3&lt;=Inputs!$E$84*12),INDEX(Capex!$C$19:$E$19,1,Inputs!$E$13)/MAX(Inputs!$E$84,1)/12,0)+IF(AND(Inputs!$E$85&gt;0,AR3&lt;=Inputs!$E$85*12),INDEX(Capex!$C$20:$E$20,1,Inputs!$E$13)/MAX(Inputs!$E$85,1)/12,0)+IF(AND(Inputs!$E$86&gt;0,AR3&lt;=Inputs!$E$86*12),INDEX(Capex!$C$21:$E$21,1,Inputs!$E$13)/MAX(Inputs!$E$86,1)/12,0)+IF(AND(Inputs!$E$87&gt;0,AR3&lt;=Inputs!$E$87*12),INDEX(Capex!$C$22:$E$22,1,Inputs!$E$13)/MAX(Inputs!$E$87,1)/12,0)+IF(AND(Inputs!$E$88&gt;0,AR3&lt;=Inputs!$E$88*12),INDEX(Capex!$C$23:$E$23,1,Inputs!$E$13)/MAX(Inputs!$E$88,1)/12,0)+IF(AND(Inputs!$E$89&gt;0,AR3&lt;=Inputs!$E$89*12),INDEX(Capex!$C$24:$E$24,1,Inputs!$E$13)/MAX(Inputs!$E$89,1)/12,0)+IF(AND(Inputs!$E$90&gt;0,AR3&lt;=Inputs!$E$90*12),INDEX(Capex!$C$25:$E$25,1,Inputs!$E$13)/MAX(Inputs!$E$90,1)/12,0)</f>
        <v/>
      </c>
      <c r="AS28" s="3">
        <f>IF(AND(Inputs!$E$84&gt;0,AS3&lt;=Inputs!$E$84*12),INDEX(Capex!$C$19:$E$19,1,Inputs!$E$13)/MAX(Inputs!$E$84,1)/12,0)+IF(AND(Inputs!$E$85&gt;0,AS3&lt;=Inputs!$E$85*12),INDEX(Capex!$C$20:$E$20,1,Inputs!$E$13)/MAX(Inputs!$E$85,1)/12,0)+IF(AND(Inputs!$E$86&gt;0,AS3&lt;=Inputs!$E$86*12),INDEX(Capex!$C$21:$E$21,1,Inputs!$E$13)/MAX(Inputs!$E$86,1)/12,0)+IF(AND(Inputs!$E$87&gt;0,AS3&lt;=Inputs!$E$87*12),INDEX(Capex!$C$22:$E$22,1,Inputs!$E$13)/MAX(Inputs!$E$87,1)/12,0)+IF(AND(Inputs!$E$88&gt;0,AS3&lt;=Inputs!$E$88*12),INDEX(Capex!$C$23:$E$23,1,Inputs!$E$13)/MAX(Inputs!$E$88,1)/12,0)+IF(AND(Inputs!$E$89&gt;0,AS3&lt;=Inputs!$E$89*12),INDEX(Capex!$C$24:$E$24,1,Inputs!$E$13)/MAX(Inputs!$E$89,1)/12,0)+IF(AND(Inputs!$E$90&gt;0,AS3&lt;=Inputs!$E$90*12),INDEX(Capex!$C$25:$E$25,1,Inputs!$E$13)/MAX(Inputs!$E$90,1)/12,0)</f>
        <v/>
      </c>
      <c r="AT28" s="3">
        <f>IF(AND(Inputs!$E$84&gt;0,AT3&lt;=Inputs!$E$84*12),INDEX(Capex!$C$19:$E$19,1,Inputs!$E$13)/MAX(Inputs!$E$84,1)/12,0)+IF(AND(Inputs!$E$85&gt;0,AT3&lt;=Inputs!$E$85*12),INDEX(Capex!$C$20:$E$20,1,Inputs!$E$13)/MAX(Inputs!$E$85,1)/12,0)+IF(AND(Inputs!$E$86&gt;0,AT3&lt;=Inputs!$E$86*12),INDEX(Capex!$C$21:$E$21,1,Inputs!$E$13)/MAX(Inputs!$E$86,1)/12,0)+IF(AND(Inputs!$E$87&gt;0,AT3&lt;=Inputs!$E$87*12),INDEX(Capex!$C$22:$E$22,1,Inputs!$E$13)/MAX(Inputs!$E$87,1)/12,0)+IF(AND(Inputs!$E$88&gt;0,AT3&lt;=Inputs!$E$88*12),INDEX(Capex!$C$23:$E$23,1,Inputs!$E$13)/MAX(Inputs!$E$88,1)/12,0)+IF(AND(Inputs!$E$89&gt;0,AT3&lt;=Inputs!$E$89*12),INDEX(Capex!$C$24:$E$24,1,Inputs!$E$13)/MAX(Inputs!$E$89,1)/12,0)+IF(AND(Inputs!$E$90&gt;0,AT3&lt;=Inputs!$E$90*12),INDEX(Capex!$C$25:$E$25,1,Inputs!$E$13)/MAX(Inputs!$E$90,1)/12,0)</f>
        <v/>
      </c>
      <c r="AU28" s="3">
        <f>IF(AND(Inputs!$E$84&gt;0,AU3&lt;=Inputs!$E$84*12),INDEX(Capex!$C$19:$E$19,1,Inputs!$E$13)/MAX(Inputs!$E$84,1)/12,0)+IF(AND(Inputs!$E$85&gt;0,AU3&lt;=Inputs!$E$85*12),INDEX(Capex!$C$20:$E$20,1,Inputs!$E$13)/MAX(Inputs!$E$85,1)/12,0)+IF(AND(Inputs!$E$86&gt;0,AU3&lt;=Inputs!$E$86*12),INDEX(Capex!$C$21:$E$21,1,Inputs!$E$13)/MAX(Inputs!$E$86,1)/12,0)+IF(AND(Inputs!$E$87&gt;0,AU3&lt;=Inputs!$E$87*12),INDEX(Capex!$C$22:$E$22,1,Inputs!$E$13)/MAX(Inputs!$E$87,1)/12,0)+IF(AND(Inputs!$E$88&gt;0,AU3&lt;=Inputs!$E$88*12),INDEX(Capex!$C$23:$E$23,1,Inputs!$E$13)/MAX(Inputs!$E$88,1)/12,0)+IF(AND(Inputs!$E$89&gt;0,AU3&lt;=Inputs!$E$89*12),INDEX(Capex!$C$24:$E$24,1,Inputs!$E$13)/MAX(Inputs!$E$89,1)/12,0)+IF(AND(Inputs!$E$90&gt;0,AU3&lt;=Inputs!$E$90*12),INDEX(Capex!$C$25:$E$25,1,Inputs!$E$13)/MAX(Inputs!$E$90,1)/12,0)</f>
        <v/>
      </c>
      <c r="AV28" s="3">
        <f>IF(AND(Inputs!$E$84&gt;0,AV3&lt;=Inputs!$E$84*12),INDEX(Capex!$C$19:$E$19,1,Inputs!$E$13)/MAX(Inputs!$E$84,1)/12,0)+IF(AND(Inputs!$E$85&gt;0,AV3&lt;=Inputs!$E$85*12),INDEX(Capex!$C$20:$E$20,1,Inputs!$E$13)/MAX(Inputs!$E$85,1)/12,0)+IF(AND(Inputs!$E$86&gt;0,AV3&lt;=Inputs!$E$86*12),INDEX(Capex!$C$21:$E$21,1,Inputs!$E$13)/MAX(Inputs!$E$86,1)/12,0)+IF(AND(Inputs!$E$87&gt;0,AV3&lt;=Inputs!$E$87*12),INDEX(Capex!$C$22:$E$22,1,Inputs!$E$13)/MAX(Inputs!$E$87,1)/12,0)+IF(AND(Inputs!$E$88&gt;0,AV3&lt;=Inputs!$E$88*12),INDEX(Capex!$C$23:$E$23,1,Inputs!$E$13)/MAX(Inputs!$E$88,1)/12,0)+IF(AND(Inputs!$E$89&gt;0,AV3&lt;=Inputs!$E$89*12),INDEX(Capex!$C$24:$E$24,1,Inputs!$E$13)/MAX(Inputs!$E$89,1)/12,0)+IF(AND(Inputs!$E$90&gt;0,AV3&lt;=Inputs!$E$90*12),INDEX(Capex!$C$25:$E$25,1,Inputs!$E$13)/MAX(Inputs!$E$90,1)/12,0)</f>
        <v/>
      </c>
      <c r="AW28" s="3">
        <f>IF(AND(Inputs!$E$84&gt;0,AW3&lt;=Inputs!$E$84*12),INDEX(Capex!$C$19:$E$19,1,Inputs!$E$13)/MAX(Inputs!$E$84,1)/12,0)+IF(AND(Inputs!$E$85&gt;0,AW3&lt;=Inputs!$E$85*12),INDEX(Capex!$C$20:$E$20,1,Inputs!$E$13)/MAX(Inputs!$E$85,1)/12,0)+IF(AND(Inputs!$E$86&gt;0,AW3&lt;=Inputs!$E$86*12),INDEX(Capex!$C$21:$E$21,1,Inputs!$E$13)/MAX(Inputs!$E$86,1)/12,0)+IF(AND(Inputs!$E$87&gt;0,AW3&lt;=Inputs!$E$87*12),INDEX(Capex!$C$22:$E$22,1,Inputs!$E$13)/MAX(Inputs!$E$87,1)/12,0)+IF(AND(Inputs!$E$88&gt;0,AW3&lt;=Inputs!$E$88*12),INDEX(Capex!$C$23:$E$23,1,Inputs!$E$13)/MAX(Inputs!$E$88,1)/12,0)+IF(AND(Inputs!$E$89&gt;0,AW3&lt;=Inputs!$E$89*12),INDEX(Capex!$C$24:$E$24,1,Inputs!$E$13)/MAX(Inputs!$E$89,1)/12,0)+IF(AND(Inputs!$E$90&gt;0,AW3&lt;=Inputs!$E$90*12),INDEX(Capex!$C$25:$E$25,1,Inputs!$E$13)/MAX(Inputs!$E$90,1)/12,0)</f>
        <v/>
      </c>
      <c r="AX28" s="3">
        <f>IF(AND(Inputs!$E$84&gt;0,AX3&lt;=Inputs!$E$84*12),INDEX(Capex!$C$19:$E$19,1,Inputs!$E$13)/MAX(Inputs!$E$84,1)/12,0)+IF(AND(Inputs!$E$85&gt;0,AX3&lt;=Inputs!$E$85*12),INDEX(Capex!$C$20:$E$20,1,Inputs!$E$13)/MAX(Inputs!$E$85,1)/12,0)+IF(AND(Inputs!$E$86&gt;0,AX3&lt;=Inputs!$E$86*12),INDEX(Capex!$C$21:$E$21,1,Inputs!$E$13)/MAX(Inputs!$E$86,1)/12,0)+IF(AND(Inputs!$E$87&gt;0,AX3&lt;=Inputs!$E$87*12),INDEX(Capex!$C$22:$E$22,1,Inputs!$E$13)/MAX(Inputs!$E$87,1)/12,0)+IF(AND(Inputs!$E$88&gt;0,AX3&lt;=Inputs!$E$88*12),INDEX(Capex!$C$23:$E$23,1,Inputs!$E$13)/MAX(Inputs!$E$88,1)/12,0)+IF(AND(Inputs!$E$89&gt;0,AX3&lt;=Inputs!$E$89*12),INDEX(Capex!$C$24:$E$24,1,Inputs!$E$13)/MAX(Inputs!$E$89,1)/12,0)+IF(AND(Inputs!$E$90&gt;0,AX3&lt;=Inputs!$E$90*12),INDEX(Capex!$C$25:$E$25,1,Inputs!$E$13)/MAX(Inputs!$E$90,1)/12,0)</f>
        <v/>
      </c>
      <c r="AY28" s="3">
        <f>IF(AND(Inputs!$E$84&gt;0,AY3&lt;=Inputs!$E$84*12),INDEX(Capex!$C$19:$E$19,1,Inputs!$E$13)/MAX(Inputs!$E$84,1)/12,0)+IF(AND(Inputs!$E$85&gt;0,AY3&lt;=Inputs!$E$85*12),INDEX(Capex!$C$20:$E$20,1,Inputs!$E$13)/MAX(Inputs!$E$85,1)/12,0)+IF(AND(Inputs!$E$86&gt;0,AY3&lt;=Inputs!$E$86*12),INDEX(Capex!$C$21:$E$21,1,Inputs!$E$13)/MAX(Inputs!$E$86,1)/12,0)+IF(AND(Inputs!$E$87&gt;0,AY3&lt;=Inputs!$E$87*12),INDEX(Capex!$C$22:$E$22,1,Inputs!$E$13)/MAX(Inputs!$E$87,1)/12,0)+IF(AND(Inputs!$E$88&gt;0,AY3&lt;=Inputs!$E$88*12),INDEX(Capex!$C$23:$E$23,1,Inputs!$E$13)/MAX(Inputs!$E$88,1)/12,0)+IF(AND(Inputs!$E$89&gt;0,AY3&lt;=Inputs!$E$89*12),INDEX(Capex!$C$24:$E$24,1,Inputs!$E$13)/MAX(Inputs!$E$89,1)/12,0)+IF(AND(Inputs!$E$90&gt;0,AY3&lt;=Inputs!$E$90*12),INDEX(Capex!$C$25:$E$25,1,Inputs!$E$13)/MAX(Inputs!$E$90,1)/12,0)</f>
        <v/>
      </c>
      <c r="AZ28" s="3">
        <f>IF(AND(Inputs!$E$84&gt;0,AZ3&lt;=Inputs!$E$84*12),INDEX(Capex!$C$19:$E$19,1,Inputs!$E$13)/MAX(Inputs!$E$84,1)/12,0)+IF(AND(Inputs!$E$85&gt;0,AZ3&lt;=Inputs!$E$85*12),INDEX(Capex!$C$20:$E$20,1,Inputs!$E$13)/MAX(Inputs!$E$85,1)/12,0)+IF(AND(Inputs!$E$86&gt;0,AZ3&lt;=Inputs!$E$86*12),INDEX(Capex!$C$21:$E$21,1,Inputs!$E$13)/MAX(Inputs!$E$86,1)/12,0)+IF(AND(Inputs!$E$87&gt;0,AZ3&lt;=Inputs!$E$87*12),INDEX(Capex!$C$22:$E$22,1,Inputs!$E$13)/MAX(Inputs!$E$87,1)/12,0)+IF(AND(Inputs!$E$88&gt;0,AZ3&lt;=Inputs!$E$88*12),INDEX(Capex!$C$23:$E$23,1,Inputs!$E$13)/MAX(Inputs!$E$88,1)/12,0)+IF(AND(Inputs!$E$89&gt;0,AZ3&lt;=Inputs!$E$89*12),INDEX(Capex!$C$24:$E$24,1,Inputs!$E$13)/MAX(Inputs!$E$89,1)/12,0)+IF(AND(Inputs!$E$90&gt;0,AZ3&lt;=Inputs!$E$90*12),INDEX(Capex!$C$25:$E$25,1,Inputs!$E$13)/MAX(Inputs!$E$90,1)/12,0)</f>
        <v/>
      </c>
      <c r="BA28" s="3">
        <f>IF(AND(Inputs!$E$84&gt;0,BA3&lt;=Inputs!$E$84*12),INDEX(Capex!$C$19:$E$19,1,Inputs!$E$13)/MAX(Inputs!$E$84,1)/12,0)+IF(AND(Inputs!$E$85&gt;0,BA3&lt;=Inputs!$E$85*12),INDEX(Capex!$C$20:$E$20,1,Inputs!$E$13)/MAX(Inputs!$E$85,1)/12,0)+IF(AND(Inputs!$E$86&gt;0,BA3&lt;=Inputs!$E$86*12),INDEX(Capex!$C$21:$E$21,1,Inputs!$E$13)/MAX(Inputs!$E$86,1)/12,0)+IF(AND(Inputs!$E$87&gt;0,BA3&lt;=Inputs!$E$87*12),INDEX(Capex!$C$22:$E$22,1,Inputs!$E$13)/MAX(Inputs!$E$87,1)/12,0)+IF(AND(Inputs!$E$88&gt;0,BA3&lt;=Inputs!$E$88*12),INDEX(Capex!$C$23:$E$23,1,Inputs!$E$13)/MAX(Inputs!$E$88,1)/12,0)+IF(AND(Inputs!$E$89&gt;0,BA3&lt;=Inputs!$E$89*12),INDEX(Capex!$C$24:$E$24,1,Inputs!$E$13)/MAX(Inputs!$E$89,1)/12,0)+IF(AND(Inputs!$E$90&gt;0,BA3&lt;=Inputs!$E$90*12),INDEX(Capex!$C$25:$E$25,1,Inputs!$E$13)/MAX(Inputs!$E$90,1)/12,0)</f>
        <v/>
      </c>
      <c r="BB28" s="3">
        <f>IF(AND(Inputs!$E$84&gt;0,BB3&lt;=Inputs!$E$84*12),INDEX(Capex!$C$19:$E$19,1,Inputs!$E$13)/MAX(Inputs!$E$84,1)/12,0)+IF(AND(Inputs!$E$85&gt;0,BB3&lt;=Inputs!$E$85*12),INDEX(Capex!$C$20:$E$20,1,Inputs!$E$13)/MAX(Inputs!$E$85,1)/12,0)+IF(AND(Inputs!$E$86&gt;0,BB3&lt;=Inputs!$E$86*12),INDEX(Capex!$C$21:$E$21,1,Inputs!$E$13)/MAX(Inputs!$E$86,1)/12,0)+IF(AND(Inputs!$E$87&gt;0,BB3&lt;=Inputs!$E$87*12),INDEX(Capex!$C$22:$E$22,1,Inputs!$E$13)/MAX(Inputs!$E$87,1)/12,0)+IF(AND(Inputs!$E$88&gt;0,BB3&lt;=Inputs!$E$88*12),INDEX(Capex!$C$23:$E$23,1,Inputs!$E$13)/MAX(Inputs!$E$88,1)/12,0)+IF(AND(Inputs!$E$89&gt;0,BB3&lt;=Inputs!$E$89*12),INDEX(Capex!$C$24:$E$24,1,Inputs!$E$13)/MAX(Inputs!$E$89,1)/12,0)+IF(AND(Inputs!$E$90&gt;0,BB3&lt;=Inputs!$E$90*12),INDEX(Capex!$C$25:$E$25,1,Inputs!$E$13)/MAX(Inputs!$E$90,1)/12,0)</f>
        <v/>
      </c>
      <c r="BC28" s="3">
        <f>IF(AND(Inputs!$E$84&gt;0,BC3&lt;=Inputs!$E$84*12),INDEX(Capex!$C$19:$E$19,1,Inputs!$E$13)/MAX(Inputs!$E$84,1)/12,0)+IF(AND(Inputs!$E$85&gt;0,BC3&lt;=Inputs!$E$85*12),INDEX(Capex!$C$20:$E$20,1,Inputs!$E$13)/MAX(Inputs!$E$85,1)/12,0)+IF(AND(Inputs!$E$86&gt;0,BC3&lt;=Inputs!$E$86*12),INDEX(Capex!$C$21:$E$21,1,Inputs!$E$13)/MAX(Inputs!$E$86,1)/12,0)+IF(AND(Inputs!$E$87&gt;0,BC3&lt;=Inputs!$E$87*12),INDEX(Capex!$C$22:$E$22,1,Inputs!$E$13)/MAX(Inputs!$E$87,1)/12,0)+IF(AND(Inputs!$E$88&gt;0,BC3&lt;=Inputs!$E$88*12),INDEX(Capex!$C$23:$E$23,1,Inputs!$E$13)/MAX(Inputs!$E$88,1)/12,0)+IF(AND(Inputs!$E$89&gt;0,BC3&lt;=Inputs!$E$89*12),INDEX(Capex!$C$24:$E$24,1,Inputs!$E$13)/MAX(Inputs!$E$89,1)/12,0)+IF(AND(Inputs!$E$90&gt;0,BC3&lt;=Inputs!$E$90*12),INDEX(Capex!$C$25:$E$25,1,Inputs!$E$13)/MAX(Inputs!$E$90,1)/12,0)</f>
        <v/>
      </c>
      <c r="BD28" s="3">
        <f>IF(AND(Inputs!$E$84&gt;0,BD3&lt;=Inputs!$E$84*12),INDEX(Capex!$C$19:$E$19,1,Inputs!$E$13)/MAX(Inputs!$E$84,1)/12,0)+IF(AND(Inputs!$E$85&gt;0,BD3&lt;=Inputs!$E$85*12),INDEX(Capex!$C$20:$E$20,1,Inputs!$E$13)/MAX(Inputs!$E$85,1)/12,0)+IF(AND(Inputs!$E$86&gt;0,BD3&lt;=Inputs!$E$86*12),INDEX(Capex!$C$21:$E$21,1,Inputs!$E$13)/MAX(Inputs!$E$86,1)/12,0)+IF(AND(Inputs!$E$87&gt;0,BD3&lt;=Inputs!$E$87*12),INDEX(Capex!$C$22:$E$22,1,Inputs!$E$13)/MAX(Inputs!$E$87,1)/12,0)+IF(AND(Inputs!$E$88&gt;0,BD3&lt;=Inputs!$E$88*12),INDEX(Capex!$C$23:$E$23,1,Inputs!$E$13)/MAX(Inputs!$E$88,1)/12,0)+IF(AND(Inputs!$E$89&gt;0,BD3&lt;=Inputs!$E$89*12),INDEX(Capex!$C$24:$E$24,1,Inputs!$E$13)/MAX(Inputs!$E$89,1)/12,0)+IF(AND(Inputs!$E$90&gt;0,BD3&lt;=Inputs!$E$90*12),INDEX(Capex!$C$25:$E$25,1,Inputs!$E$13)/MAX(Inputs!$E$90,1)/12,0)</f>
        <v/>
      </c>
      <c r="BE28" s="3">
        <f>IF(AND(Inputs!$E$84&gt;0,BE3&lt;=Inputs!$E$84*12),INDEX(Capex!$C$19:$E$19,1,Inputs!$E$13)/MAX(Inputs!$E$84,1)/12,0)+IF(AND(Inputs!$E$85&gt;0,BE3&lt;=Inputs!$E$85*12),INDEX(Capex!$C$20:$E$20,1,Inputs!$E$13)/MAX(Inputs!$E$85,1)/12,0)+IF(AND(Inputs!$E$86&gt;0,BE3&lt;=Inputs!$E$86*12),INDEX(Capex!$C$21:$E$21,1,Inputs!$E$13)/MAX(Inputs!$E$86,1)/12,0)+IF(AND(Inputs!$E$87&gt;0,BE3&lt;=Inputs!$E$87*12),INDEX(Capex!$C$22:$E$22,1,Inputs!$E$13)/MAX(Inputs!$E$87,1)/12,0)+IF(AND(Inputs!$E$88&gt;0,BE3&lt;=Inputs!$E$88*12),INDEX(Capex!$C$23:$E$23,1,Inputs!$E$13)/MAX(Inputs!$E$88,1)/12,0)+IF(AND(Inputs!$E$89&gt;0,BE3&lt;=Inputs!$E$89*12),INDEX(Capex!$C$24:$E$24,1,Inputs!$E$13)/MAX(Inputs!$E$89,1)/12,0)+IF(AND(Inputs!$E$90&gt;0,BE3&lt;=Inputs!$E$90*12),INDEX(Capex!$C$25:$E$25,1,Inputs!$E$13)/MAX(Inputs!$E$90,1)/12,0)</f>
        <v/>
      </c>
      <c r="BF28" s="3">
        <f>IF(AND(Inputs!$E$84&gt;0,BF3&lt;=Inputs!$E$84*12),INDEX(Capex!$C$19:$E$19,1,Inputs!$E$13)/MAX(Inputs!$E$84,1)/12,0)+IF(AND(Inputs!$E$85&gt;0,BF3&lt;=Inputs!$E$85*12),INDEX(Capex!$C$20:$E$20,1,Inputs!$E$13)/MAX(Inputs!$E$85,1)/12,0)+IF(AND(Inputs!$E$86&gt;0,BF3&lt;=Inputs!$E$86*12),INDEX(Capex!$C$21:$E$21,1,Inputs!$E$13)/MAX(Inputs!$E$86,1)/12,0)+IF(AND(Inputs!$E$87&gt;0,BF3&lt;=Inputs!$E$87*12),INDEX(Capex!$C$22:$E$22,1,Inputs!$E$13)/MAX(Inputs!$E$87,1)/12,0)+IF(AND(Inputs!$E$88&gt;0,BF3&lt;=Inputs!$E$88*12),INDEX(Capex!$C$23:$E$23,1,Inputs!$E$13)/MAX(Inputs!$E$88,1)/12,0)+IF(AND(Inputs!$E$89&gt;0,BF3&lt;=Inputs!$E$89*12),INDEX(Capex!$C$24:$E$24,1,Inputs!$E$13)/MAX(Inputs!$E$89,1)/12,0)+IF(AND(Inputs!$E$90&gt;0,BF3&lt;=Inputs!$E$90*12),INDEX(Capex!$C$25:$E$25,1,Inputs!$E$13)/MAX(Inputs!$E$90,1)/12,0)</f>
        <v/>
      </c>
      <c r="BG28" s="3">
        <f>IF(AND(Inputs!$E$84&gt;0,BG3&lt;=Inputs!$E$84*12),INDEX(Capex!$C$19:$E$19,1,Inputs!$E$13)/MAX(Inputs!$E$84,1)/12,0)+IF(AND(Inputs!$E$85&gt;0,BG3&lt;=Inputs!$E$85*12),INDEX(Capex!$C$20:$E$20,1,Inputs!$E$13)/MAX(Inputs!$E$85,1)/12,0)+IF(AND(Inputs!$E$86&gt;0,BG3&lt;=Inputs!$E$86*12),INDEX(Capex!$C$21:$E$21,1,Inputs!$E$13)/MAX(Inputs!$E$86,1)/12,0)+IF(AND(Inputs!$E$87&gt;0,BG3&lt;=Inputs!$E$87*12),INDEX(Capex!$C$22:$E$22,1,Inputs!$E$13)/MAX(Inputs!$E$87,1)/12,0)+IF(AND(Inputs!$E$88&gt;0,BG3&lt;=Inputs!$E$88*12),INDEX(Capex!$C$23:$E$23,1,Inputs!$E$13)/MAX(Inputs!$E$88,1)/12,0)+IF(AND(Inputs!$E$89&gt;0,BG3&lt;=Inputs!$E$89*12),INDEX(Capex!$C$24:$E$24,1,Inputs!$E$13)/MAX(Inputs!$E$89,1)/12,0)+IF(AND(Inputs!$E$90&gt;0,BG3&lt;=Inputs!$E$90*12),INDEX(Capex!$C$25:$E$25,1,Inputs!$E$13)/MAX(Inputs!$E$90,1)/12,0)</f>
        <v/>
      </c>
      <c r="BH28" s="3">
        <f>IF(AND(Inputs!$E$84&gt;0,BH3&lt;=Inputs!$E$84*12),INDEX(Capex!$C$19:$E$19,1,Inputs!$E$13)/MAX(Inputs!$E$84,1)/12,0)+IF(AND(Inputs!$E$85&gt;0,BH3&lt;=Inputs!$E$85*12),INDEX(Capex!$C$20:$E$20,1,Inputs!$E$13)/MAX(Inputs!$E$85,1)/12,0)+IF(AND(Inputs!$E$86&gt;0,BH3&lt;=Inputs!$E$86*12),INDEX(Capex!$C$21:$E$21,1,Inputs!$E$13)/MAX(Inputs!$E$86,1)/12,0)+IF(AND(Inputs!$E$87&gt;0,BH3&lt;=Inputs!$E$87*12),INDEX(Capex!$C$22:$E$22,1,Inputs!$E$13)/MAX(Inputs!$E$87,1)/12,0)+IF(AND(Inputs!$E$88&gt;0,BH3&lt;=Inputs!$E$88*12),INDEX(Capex!$C$23:$E$23,1,Inputs!$E$13)/MAX(Inputs!$E$88,1)/12,0)+IF(AND(Inputs!$E$89&gt;0,BH3&lt;=Inputs!$E$89*12),INDEX(Capex!$C$24:$E$24,1,Inputs!$E$13)/MAX(Inputs!$E$89,1)/12,0)+IF(AND(Inputs!$E$90&gt;0,BH3&lt;=Inputs!$E$90*12),INDEX(Capex!$C$25:$E$25,1,Inputs!$E$13)/MAX(Inputs!$E$90,1)/12,0)</f>
        <v/>
      </c>
      <c r="BI28" s="3">
        <f>IF(AND(Inputs!$E$84&gt;0,BI3&lt;=Inputs!$E$84*12),INDEX(Capex!$C$19:$E$19,1,Inputs!$E$13)/MAX(Inputs!$E$84,1)/12,0)+IF(AND(Inputs!$E$85&gt;0,BI3&lt;=Inputs!$E$85*12),INDEX(Capex!$C$20:$E$20,1,Inputs!$E$13)/MAX(Inputs!$E$85,1)/12,0)+IF(AND(Inputs!$E$86&gt;0,BI3&lt;=Inputs!$E$86*12),INDEX(Capex!$C$21:$E$21,1,Inputs!$E$13)/MAX(Inputs!$E$86,1)/12,0)+IF(AND(Inputs!$E$87&gt;0,BI3&lt;=Inputs!$E$87*12),INDEX(Capex!$C$22:$E$22,1,Inputs!$E$13)/MAX(Inputs!$E$87,1)/12,0)+IF(AND(Inputs!$E$88&gt;0,BI3&lt;=Inputs!$E$88*12),INDEX(Capex!$C$23:$E$23,1,Inputs!$E$13)/MAX(Inputs!$E$88,1)/12,0)+IF(AND(Inputs!$E$89&gt;0,BI3&lt;=Inputs!$E$89*12),INDEX(Capex!$C$24:$E$24,1,Inputs!$E$13)/MAX(Inputs!$E$89,1)/12,0)+IF(AND(Inputs!$E$90&gt;0,BI3&lt;=Inputs!$E$90*12),INDEX(Capex!$C$25:$E$25,1,Inputs!$E$13)/MAX(Inputs!$E$90,1)/12,0)</f>
        <v/>
      </c>
      <c r="BJ28" s="3">
        <f>IF(AND(Inputs!$E$84&gt;0,BJ3&lt;=Inputs!$E$84*12),INDEX(Capex!$C$19:$E$19,1,Inputs!$E$13)/MAX(Inputs!$E$84,1)/12,0)+IF(AND(Inputs!$E$85&gt;0,BJ3&lt;=Inputs!$E$85*12),INDEX(Capex!$C$20:$E$20,1,Inputs!$E$13)/MAX(Inputs!$E$85,1)/12,0)+IF(AND(Inputs!$E$86&gt;0,BJ3&lt;=Inputs!$E$86*12),INDEX(Capex!$C$21:$E$21,1,Inputs!$E$13)/MAX(Inputs!$E$86,1)/12,0)+IF(AND(Inputs!$E$87&gt;0,BJ3&lt;=Inputs!$E$87*12),INDEX(Capex!$C$22:$E$22,1,Inputs!$E$13)/MAX(Inputs!$E$87,1)/12,0)+IF(AND(Inputs!$E$88&gt;0,BJ3&lt;=Inputs!$E$88*12),INDEX(Capex!$C$23:$E$23,1,Inputs!$E$13)/MAX(Inputs!$E$88,1)/12,0)+IF(AND(Inputs!$E$89&gt;0,BJ3&lt;=Inputs!$E$89*12),INDEX(Capex!$C$24:$E$24,1,Inputs!$E$13)/MAX(Inputs!$E$89,1)/12,0)+IF(AND(Inputs!$E$90&gt;0,BJ3&lt;=Inputs!$E$90*12),INDEX(Capex!$C$25:$E$25,1,Inputs!$E$13)/MAX(Inputs!$E$90,1)/12,0)</f>
        <v/>
      </c>
    </row>
    <row r="29">
      <c r="A29" t="inlineStr">
        <is>
          <t>EBIT</t>
        </is>
      </c>
      <c r="C29" s="3">
        <f>C27-C28</f>
        <v/>
      </c>
      <c r="D29" s="3">
        <f>D27-D28</f>
        <v/>
      </c>
      <c r="E29" s="3">
        <f>E27-E28</f>
        <v/>
      </c>
      <c r="F29" s="3">
        <f>F27-F28</f>
        <v/>
      </c>
      <c r="G29" s="3">
        <f>G27-G28</f>
        <v/>
      </c>
      <c r="H29" s="3">
        <f>H27-H28</f>
        <v/>
      </c>
      <c r="I29" s="3">
        <f>I27-I28</f>
        <v/>
      </c>
      <c r="J29" s="3">
        <f>J27-J28</f>
        <v/>
      </c>
      <c r="K29" s="3">
        <f>K27-K28</f>
        <v/>
      </c>
      <c r="L29" s="3">
        <f>L27-L28</f>
        <v/>
      </c>
      <c r="M29" s="3">
        <f>M27-M28</f>
        <v/>
      </c>
      <c r="N29" s="3">
        <f>N27-N28</f>
        <v/>
      </c>
      <c r="O29" s="3">
        <f>O27-O28</f>
        <v/>
      </c>
      <c r="P29" s="3">
        <f>P27-P28</f>
        <v/>
      </c>
      <c r="Q29" s="3">
        <f>Q27-Q28</f>
        <v/>
      </c>
      <c r="R29" s="3">
        <f>R27-R28</f>
        <v/>
      </c>
      <c r="S29" s="3">
        <f>S27-S28</f>
        <v/>
      </c>
      <c r="T29" s="3">
        <f>T27-T28</f>
        <v/>
      </c>
      <c r="U29" s="3">
        <f>U27-U28</f>
        <v/>
      </c>
      <c r="V29" s="3">
        <f>V27-V28</f>
        <v/>
      </c>
      <c r="W29" s="3">
        <f>W27-W28</f>
        <v/>
      </c>
      <c r="X29" s="3">
        <f>X27-X28</f>
        <v/>
      </c>
      <c r="Y29" s="3">
        <f>Y27-Y28</f>
        <v/>
      </c>
      <c r="Z29" s="3">
        <f>Z27-Z28</f>
        <v/>
      </c>
      <c r="AA29" s="3">
        <f>AA27-AA28</f>
        <v/>
      </c>
      <c r="AB29" s="3">
        <f>AB27-AB28</f>
        <v/>
      </c>
      <c r="AC29" s="3">
        <f>AC27-AC28</f>
        <v/>
      </c>
      <c r="AD29" s="3">
        <f>AD27-AD28</f>
        <v/>
      </c>
      <c r="AE29" s="3">
        <f>AE27-AE28</f>
        <v/>
      </c>
      <c r="AF29" s="3">
        <f>AF27-AF28</f>
        <v/>
      </c>
      <c r="AG29" s="3">
        <f>AG27-AG28</f>
        <v/>
      </c>
      <c r="AH29" s="3">
        <f>AH27-AH28</f>
        <v/>
      </c>
      <c r="AI29" s="3">
        <f>AI27-AI28</f>
        <v/>
      </c>
      <c r="AJ29" s="3">
        <f>AJ27-AJ28</f>
        <v/>
      </c>
      <c r="AK29" s="3">
        <f>AK27-AK28</f>
        <v/>
      </c>
      <c r="AL29" s="3">
        <f>AL27-AL28</f>
        <v/>
      </c>
      <c r="AM29" s="3">
        <f>AM27-AM28</f>
        <v/>
      </c>
      <c r="AN29" s="3">
        <f>AN27-AN28</f>
        <v/>
      </c>
      <c r="AO29" s="3">
        <f>AO27-AO28</f>
        <v/>
      </c>
      <c r="AP29" s="3">
        <f>AP27-AP28</f>
        <v/>
      </c>
      <c r="AQ29" s="3">
        <f>AQ27-AQ28</f>
        <v/>
      </c>
      <c r="AR29" s="3">
        <f>AR27-AR28</f>
        <v/>
      </c>
      <c r="AS29" s="3">
        <f>AS27-AS28</f>
        <v/>
      </c>
      <c r="AT29" s="3">
        <f>AT27-AT28</f>
        <v/>
      </c>
      <c r="AU29" s="3">
        <f>AU27-AU28</f>
        <v/>
      </c>
      <c r="AV29" s="3">
        <f>AV27-AV28</f>
        <v/>
      </c>
      <c r="AW29" s="3">
        <f>AW27-AW28</f>
        <v/>
      </c>
      <c r="AX29" s="3">
        <f>AX27-AX28</f>
        <v/>
      </c>
      <c r="AY29" s="3">
        <f>AY27-AY28</f>
        <v/>
      </c>
      <c r="AZ29" s="3">
        <f>AZ27-AZ28</f>
        <v/>
      </c>
      <c r="BA29" s="3">
        <f>BA27-BA28</f>
        <v/>
      </c>
      <c r="BB29" s="3">
        <f>BB27-BB28</f>
        <v/>
      </c>
      <c r="BC29" s="3">
        <f>BC27-BC28</f>
        <v/>
      </c>
      <c r="BD29" s="3">
        <f>BD27-BD28</f>
        <v/>
      </c>
      <c r="BE29" s="3">
        <f>BE27-BE28</f>
        <v/>
      </c>
      <c r="BF29" s="3">
        <f>BF27-BF28</f>
        <v/>
      </c>
      <c r="BG29" s="3">
        <f>BG27-BG28</f>
        <v/>
      </c>
      <c r="BH29" s="3">
        <f>BH27-BH28</f>
        <v/>
      </c>
      <c r="BI29" s="3">
        <f>BI27-BI28</f>
        <v/>
      </c>
      <c r="BJ29" s="3">
        <f>BJ27-BJ28</f>
        <v/>
      </c>
    </row>
    <row r="30">
      <c r="A30" t="inlineStr">
        <is>
          <t>Cash before tax/capex adj.</t>
        </is>
      </c>
      <c r="C30" s="3">
        <f>C27-(INDEX(Annual!$C$75:$G$75,1,C4)+INDEX(Annual!$C$78:$G$78,1,C4)+INDEX(Annual!$C$80:$G$80,1,C4))/12</f>
        <v/>
      </c>
      <c r="D30" s="3">
        <f>D27-(INDEX(Annual!$C$75:$G$75,1,D4)+INDEX(Annual!$C$78:$G$78,1,D4)+INDEX(Annual!$C$80:$G$80,1,D4))/12</f>
        <v/>
      </c>
      <c r="E30" s="3">
        <f>E27-(INDEX(Annual!$C$75:$G$75,1,E4)+INDEX(Annual!$C$78:$G$78,1,E4)+INDEX(Annual!$C$80:$G$80,1,E4))/12</f>
        <v/>
      </c>
      <c r="F30" s="3">
        <f>F27-(INDEX(Annual!$C$75:$G$75,1,F4)+INDEX(Annual!$C$78:$G$78,1,F4)+INDEX(Annual!$C$80:$G$80,1,F4))/12</f>
        <v/>
      </c>
      <c r="G30" s="3">
        <f>G27-(INDEX(Annual!$C$75:$G$75,1,G4)+INDEX(Annual!$C$78:$G$78,1,G4)+INDEX(Annual!$C$80:$G$80,1,G4))/12</f>
        <v/>
      </c>
      <c r="H30" s="3">
        <f>H27-(INDEX(Annual!$C$75:$G$75,1,H4)+INDEX(Annual!$C$78:$G$78,1,H4)+INDEX(Annual!$C$80:$G$80,1,H4))/12</f>
        <v/>
      </c>
      <c r="I30" s="3">
        <f>I27-(INDEX(Annual!$C$75:$G$75,1,I4)+INDEX(Annual!$C$78:$G$78,1,I4)+INDEX(Annual!$C$80:$G$80,1,I4))/12</f>
        <v/>
      </c>
      <c r="J30" s="3">
        <f>J27-(INDEX(Annual!$C$75:$G$75,1,J4)+INDEX(Annual!$C$78:$G$78,1,J4)+INDEX(Annual!$C$80:$G$80,1,J4))/12</f>
        <v/>
      </c>
      <c r="K30" s="3">
        <f>K27-(INDEX(Annual!$C$75:$G$75,1,K4)+INDEX(Annual!$C$78:$G$78,1,K4)+INDEX(Annual!$C$80:$G$80,1,K4))/12</f>
        <v/>
      </c>
      <c r="L30" s="3">
        <f>L27-(INDEX(Annual!$C$75:$G$75,1,L4)+INDEX(Annual!$C$78:$G$78,1,L4)+INDEX(Annual!$C$80:$G$80,1,L4))/12</f>
        <v/>
      </c>
      <c r="M30" s="3">
        <f>M27-(INDEX(Annual!$C$75:$G$75,1,M4)+INDEX(Annual!$C$78:$G$78,1,M4)+INDEX(Annual!$C$80:$G$80,1,M4))/12</f>
        <v/>
      </c>
      <c r="N30" s="3">
        <f>N27-(INDEX(Annual!$C$75:$G$75,1,N4)+INDEX(Annual!$C$78:$G$78,1,N4)+INDEX(Annual!$C$80:$G$80,1,N4))/12</f>
        <v/>
      </c>
      <c r="O30" s="3">
        <f>O27-(INDEX(Annual!$C$75:$G$75,1,O4)+INDEX(Annual!$C$78:$G$78,1,O4)+INDEX(Annual!$C$80:$G$80,1,O4))/12</f>
        <v/>
      </c>
      <c r="P30" s="3">
        <f>P27-(INDEX(Annual!$C$75:$G$75,1,P4)+INDEX(Annual!$C$78:$G$78,1,P4)+INDEX(Annual!$C$80:$G$80,1,P4))/12</f>
        <v/>
      </c>
      <c r="Q30" s="3">
        <f>Q27-(INDEX(Annual!$C$75:$G$75,1,Q4)+INDEX(Annual!$C$78:$G$78,1,Q4)+INDEX(Annual!$C$80:$G$80,1,Q4))/12</f>
        <v/>
      </c>
      <c r="R30" s="3">
        <f>R27-(INDEX(Annual!$C$75:$G$75,1,R4)+INDEX(Annual!$C$78:$G$78,1,R4)+INDEX(Annual!$C$80:$G$80,1,R4))/12</f>
        <v/>
      </c>
      <c r="S30" s="3">
        <f>S27-(INDEX(Annual!$C$75:$G$75,1,S4)+INDEX(Annual!$C$78:$G$78,1,S4)+INDEX(Annual!$C$80:$G$80,1,S4))/12</f>
        <v/>
      </c>
      <c r="T30" s="3">
        <f>T27-(INDEX(Annual!$C$75:$G$75,1,T4)+INDEX(Annual!$C$78:$G$78,1,T4)+INDEX(Annual!$C$80:$G$80,1,T4))/12</f>
        <v/>
      </c>
      <c r="U30" s="3">
        <f>U27-(INDEX(Annual!$C$75:$G$75,1,U4)+INDEX(Annual!$C$78:$G$78,1,U4)+INDEX(Annual!$C$80:$G$80,1,U4))/12</f>
        <v/>
      </c>
      <c r="V30" s="3">
        <f>V27-(INDEX(Annual!$C$75:$G$75,1,V4)+INDEX(Annual!$C$78:$G$78,1,V4)+INDEX(Annual!$C$80:$G$80,1,V4))/12</f>
        <v/>
      </c>
      <c r="W30" s="3">
        <f>W27-(INDEX(Annual!$C$75:$G$75,1,W4)+INDEX(Annual!$C$78:$G$78,1,W4)+INDEX(Annual!$C$80:$G$80,1,W4))/12</f>
        <v/>
      </c>
      <c r="X30" s="3">
        <f>X27-(INDEX(Annual!$C$75:$G$75,1,X4)+INDEX(Annual!$C$78:$G$78,1,X4)+INDEX(Annual!$C$80:$G$80,1,X4))/12</f>
        <v/>
      </c>
      <c r="Y30" s="3">
        <f>Y27-(INDEX(Annual!$C$75:$G$75,1,Y4)+INDEX(Annual!$C$78:$G$78,1,Y4)+INDEX(Annual!$C$80:$G$80,1,Y4))/12</f>
        <v/>
      </c>
      <c r="Z30" s="3">
        <f>Z27-(INDEX(Annual!$C$75:$G$75,1,Z4)+INDEX(Annual!$C$78:$G$78,1,Z4)+INDEX(Annual!$C$80:$G$80,1,Z4))/12</f>
        <v/>
      </c>
      <c r="AA30" s="3">
        <f>AA27-(INDEX(Annual!$C$75:$G$75,1,AA4)+INDEX(Annual!$C$78:$G$78,1,AA4)+INDEX(Annual!$C$80:$G$80,1,AA4))/12</f>
        <v/>
      </c>
      <c r="AB30" s="3">
        <f>AB27-(INDEX(Annual!$C$75:$G$75,1,AB4)+INDEX(Annual!$C$78:$G$78,1,AB4)+INDEX(Annual!$C$80:$G$80,1,AB4))/12</f>
        <v/>
      </c>
      <c r="AC30" s="3">
        <f>AC27-(INDEX(Annual!$C$75:$G$75,1,AC4)+INDEX(Annual!$C$78:$G$78,1,AC4)+INDEX(Annual!$C$80:$G$80,1,AC4))/12</f>
        <v/>
      </c>
      <c r="AD30" s="3">
        <f>AD27-(INDEX(Annual!$C$75:$G$75,1,AD4)+INDEX(Annual!$C$78:$G$78,1,AD4)+INDEX(Annual!$C$80:$G$80,1,AD4))/12</f>
        <v/>
      </c>
      <c r="AE30" s="3">
        <f>AE27-(INDEX(Annual!$C$75:$G$75,1,AE4)+INDEX(Annual!$C$78:$G$78,1,AE4)+INDEX(Annual!$C$80:$G$80,1,AE4))/12</f>
        <v/>
      </c>
      <c r="AF30" s="3">
        <f>AF27-(INDEX(Annual!$C$75:$G$75,1,AF4)+INDEX(Annual!$C$78:$G$78,1,AF4)+INDEX(Annual!$C$80:$G$80,1,AF4))/12</f>
        <v/>
      </c>
      <c r="AG30" s="3">
        <f>AG27-(INDEX(Annual!$C$75:$G$75,1,AG4)+INDEX(Annual!$C$78:$G$78,1,AG4)+INDEX(Annual!$C$80:$G$80,1,AG4))/12</f>
        <v/>
      </c>
      <c r="AH30" s="3">
        <f>AH27-(INDEX(Annual!$C$75:$G$75,1,AH4)+INDEX(Annual!$C$78:$G$78,1,AH4)+INDEX(Annual!$C$80:$G$80,1,AH4))/12</f>
        <v/>
      </c>
      <c r="AI30" s="3">
        <f>AI27-(INDEX(Annual!$C$75:$G$75,1,AI4)+INDEX(Annual!$C$78:$G$78,1,AI4)+INDEX(Annual!$C$80:$G$80,1,AI4))/12</f>
        <v/>
      </c>
      <c r="AJ30" s="3">
        <f>AJ27-(INDEX(Annual!$C$75:$G$75,1,AJ4)+INDEX(Annual!$C$78:$G$78,1,AJ4)+INDEX(Annual!$C$80:$G$80,1,AJ4))/12</f>
        <v/>
      </c>
      <c r="AK30" s="3">
        <f>AK27-(INDEX(Annual!$C$75:$G$75,1,AK4)+INDEX(Annual!$C$78:$G$78,1,AK4)+INDEX(Annual!$C$80:$G$80,1,AK4))/12</f>
        <v/>
      </c>
      <c r="AL30" s="3">
        <f>AL27-(INDEX(Annual!$C$75:$G$75,1,AL4)+INDEX(Annual!$C$78:$G$78,1,AL4)+INDEX(Annual!$C$80:$G$80,1,AL4))/12</f>
        <v/>
      </c>
      <c r="AM30" s="3">
        <f>AM27-(INDEX(Annual!$C$75:$G$75,1,AM4)+INDEX(Annual!$C$78:$G$78,1,AM4)+INDEX(Annual!$C$80:$G$80,1,AM4))/12</f>
        <v/>
      </c>
      <c r="AN30" s="3">
        <f>AN27-(INDEX(Annual!$C$75:$G$75,1,AN4)+INDEX(Annual!$C$78:$G$78,1,AN4)+INDEX(Annual!$C$80:$G$80,1,AN4))/12</f>
        <v/>
      </c>
      <c r="AO30" s="3">
        <f>AO27-(INDEX(Annual!$C$75:$G$75,1,AO4)+INDEX(Annual!$C$78:$G$78,1,AO4)+INDEX(Annual!$C$80:$G$80,1,AO4))/12</f>
        <v/>
      </c>
      <c r="AP30" s="3">
        <f>AP27-(INDEX(Annual!$C$75:$G$75,1,AP4)+INDEX(Annual!$C$78:$G$78,1,AP4)+INDEX(Annual!$C$80:$G$80,1,AP4))/12</f>
        <v/>
      </c>
      <c r="AQ30" s="3">
        <f>AQ27-(INDEX(Annual!$C$75:$G$75,1,AQ4)+INDEX(Annual!$C$78:$G$78,1,AQ4)+INDEX(Annual!$C$80:$G$80,1,AQ4))/12</f>
        <v/>
      </c>
      <c r="AR30" s="3">
        <f>AR27-(INDEX(Annual!$C$75:$G$75,1,AR4)+INDEX(Annual!$C$78:$G$78,1,AR4)+INDEX(Annual!$C$80:$G$80,1,AR4))/12</f>
        <v/>
      </c>
      <c r="AS30" s="3">
        <f>AS27-(INDEX(Annual!$C$75:$G$75,1,AS4)+INDEX(Annual!$C$78:$G$78,1,AS4)+INDEX(Annual!$C$80:$G$80,1,AS4))/12</f>
        <v/>
      </c>
      <c r="AT30" s="3">
        <f>AT27-(INDEX(Annual!$C$75:$G$75,1,AT4)+INDEX(Annual!$C$78:$G$78,1,AT4)+INDEX(Annual!$C$80:$G$80,1,AT4))/12</f>
        <v/>
      </c>
      <c r="AU30" s="3">
        <f>AU27-(INDEX(Annual!$C$75:$G$75,1,AU4)+INDEX(Annual!$C$78:$G$78,1,AU4)+INDEX(Annual!$C$80:$G$80,1,AU4))/12</f>
        <v/>
      </c>
      <c r="AV30" s="3">
        <f>AV27-(INDEX(Annual!$C$75:$G$75,1,AV4)+INDEX(Annual!$C$78:$G$78,1,AV4)+INDEX(Annual!$C$80:$G$80,1,AV4))/12</f>
        <v/>
      </c>
      <c r="AW30" s="3">
        <f>AW27-(INDEX(Annual!$C$75:$G$75,1,AW4)+INDEX(Annual!$C$78:$G$78,1,AW4)+INDEX(Annual!$C$80:$G$80,1,AW4))/12</f>
        <v/>
      </c>
      <c r="AX30" s="3">
        <f>AX27-(INDEX(Annual!$C$75:$G$75,1,AX4)+INDEX(Annual!$C$78:$G$78,1,AX4)+INDEX(Annual!$C$80:$G$80,1,AX4))/12</f>
        <v/>
      </c>
      <c r="AY30" s="3">
        <f>AY27-(INDEX(Annual!$C$75:$G$75,1,AY4)+INDEX(Annual!$C$78:$G$78,1,AY4)+INDEX(Annual!$C$80:$G$80,1,AY4))/12</f>
        <v/>
      </c>
      <c r="AZ30" s="3">
        <f>AZ27-(INDEX(Annual!$C$75:$G$75,1,AZ4)+INDEX(Annual!$C$78:$G$78,1,AZ4)+INDEX(Annual!$C$80:$G$80,1,AZ4))/12</f>
        <v/>
      </c>
      <c r="BA30" s="3">
        <f>BA27-(INDEX(Annual!$C$75:$G$75,1,BA4)+INDEX(Annual!$C$78:$G$78,1,BA4)+INDEX(Annual!$C$80:$G$80,1,BA4))/12</f>
        <v/>
      </c>
      <c r="BB30" s="3">
        <f>BB27-(INDEX(Annual!$C$75:$G$75,1,BB4)+INDEX(Annual!$C$78:$G$78,1,BB4)+INDEX(Annual!$C$80:$G$80,1,BB4))/12</f>
        <v/>
      </c>
      <c r="BC30" s="3">
        <f>BC27-(INDEX(Annual!$C$75:$G$75,1,BC4)+INDEX(Annual!$C$78:$G$78,1,BC4)+INDEX(Annual!$C$80:$G$80,1,BC4))/12</f>
        <v/>
      </c>
      <c r="BD30" s="3">
        <f>BD27-(INDEX(Annual!$C$75:$G$75,1,BD4)+INDEX(Annual!$C$78:$G$78,1,BD4)+INDEX(Annual!$C$80:$G$80,1,BD4))/12</f>
        <v/>
      </c>
      <c r="BE30" s="3">
        <f>BE27-(INDEX(Annual!$C$75:$G$75,1,BE4)+INDEX(Annual!$C$78:$G$78,1,BE4)+INDEX(Annual!$C$80:$G$80,1,BE4))/12</f>
        <v/>
      </c>
      <c r="BF30" s="3">
        <f>BF27-(INDEX(Annual!$C$75:$G$75,1,BF4)+INDEX(Annual!$C$78:$G$78,1,BF4)+INDEX(Annual!$C$80:$G$80,1,BF4))/12</f>
        <v/>
      </c>
      <c r="BG30" s="3">
        <f>BG27-(INDEX(Annual!$C$75:$G$75,1,BG4)+INDEX(Annual!$C$78:$G$78,1,BG4)+INDEX(Annual!$C$80:$G$80,1,BG4))/12</f>
        <v/>
      </c>
      <c r="BH30" s="3">
        <f>BH27-(INDEX(Annual!$C$75:$G$75,1,BH4)+INDEX(Annual!$C$78:$G$78,1,BH4)+INDEX(Annual!$C$80:$G$80,1,BH4))/12</f>
        <v/>
      </c>
      <c r="BI30" s="3">
        <f>BI27-(INDEX(Annual!$C$75:$G$75,1,BI4)+INDEX(Annual!$C$78:$G$78,1,BI4)+INDEX(Annual!$C$80:$G$80,1,BI4))/12</f>
        <v/>
      </c>
      <c r="BJ30" s="3">
        <f>BJ27-(INDEX(Annual!$C$75:$G$75,1,BJ4)+INDEX(Annual!$C$78:$G$78,1,BJ4)+INDEX(Annual!$C$80:$G$80,1,BJ4))/12</f>
        <v/>
      </c>
    </row>
    <row r="31">
      <c r="A31" s="18" t="inlineStr">
        <is>
          <t>Cumulative cash (after investment)</t>
        </is>
      </c>
      <c r="C31" s="3">
        <f>-INDEX(Capex!$C$15:$E$15,1,Inputs!$E$13)+C30</f>
        <v/>
      </c>
      <c r="D31" s="3">
        <f>C31+D30</f>
        <v/>
      </c>
      <c r="E31" s="3">
        <f>D31+E30</f>
        <v/>
      </c>
      <c r="F31" s="3">
        <f>E31+F30</f>
        <v/>
      </c>
      <c r="G31" s="3">
        <f>F31+G30</f>
        <v/>
      </c>
      <c r="H31" s="3">
        <f>G31+H30</f>
        <v/>
      </c>
      <c r="I31" s="3">
        <f>H31+I30</f>
        <v/>
      </c>
      <c r="J31" s="3">
        <f>I31+J30</f>
        <v/>
      </c>
      <c r="K31" s="3">
        <f>J31+K30</f>
        <v/>
      </c>
      <c r="L31" s="3">
        <f>K31+L30</f>
        <v/>
      </c>
      <c r="M31" s="3">
        <f>L31+M30</f>
        <v/>
      </c>
      <c r="N31" s="3">
        <f>M31+N30</f>
        <v/>
      </c>
      <c r="O31" s="3">
        <f>N31+O30</f>
        <v/>
      </c>
      <c r="P31" s="3">
        <f>O31+P30</f>
        <v/>
      </c>
      <c r="Q31" s="3">
        <f>P31+Q30</f>
        <v/>
      </c>
      <c r="R31" s="3">
        <f>Q31+R30</f>
        <v/>
      </c>
      <c r="S31" s="3">
        <f>R31+S30</f>
        <v/>
      </c>
      <c r="T31" s="3">
        <f>S31+T30</f>
        <v/>
      </c>
      <c r="U31" s="3">
        <f>T31+U30</f>
        <v/>
      </c>
      <c r="V31" s="3">
        <f>U31+V30</f>
        <v/>
      </c>
      <c r="W31" s="3">
        <f>V31+W30</f>
        <v/>
      </c>
      <c r="X31" s="3">
        <f>W31+X30</f>
        <v/>
      </c>
      <c r="Y31" s="3">
        <f>X31+Y30</f>
        <v/>
      </c>
      <c r="Z31" s="3">
        <f>Y31+Z30</f>
        <v/>
      </c>
      <c r="AA31" s="3">
        <f>Z31+AA30</f>
        <v/>
      </c>
      <c r="AB31" s="3">
        <f>AA31+AB30</f>
        <v/>
      </c>
      <c r="AC31" s="3">
        <f>AB31+AC30</f>
        <v/>
      </c>
      <c r="AD31" s="3">
        <f>AC31+AD30</f>
        <v/>
      </c>
      <c r="AE31" s="3">
        <f>AD31+AE30</f>
        <v/>
      </c>
      <c r="AF31" s="3">
        <f>AE31+AF30</f>
        <v/>
      </c>
      <c r="AG31" s="3">
        <f>AF31+AG30</f>
        <v/>
      </c>
      <c r="AH31" s="3">
        <f>AG31+AH30</f>
        <v/>
      </c>
      <c r="AI31" s="3">
        <f>AH31+AI30</f>
        <v/>
      </c>
      <c r="AJ31" s="3">
        <f>AI31+AJ30</f>
        <v/>
      </c>
      <c r="AK31" s="3">
        <f>AJ31+AK30</f>
        <v/>
      </c>
      <c r="AL31" s="3">
        <f>AK31+AL30</f>
        <v/>
      </c>
      <c r="AM31" s="3">
        <f>AL31+AM30</f>
        <v/>
      </c>
      <c r="AN31" s="3">
        <f>AM31+AN30</f>
        <v/>
      </c>
      <c r="AO31" s="3">
        <f>AN31+AO30</f>
        <v/>
      </c>
      <c r="AP31" s="3">
        <f>AO31+AP30</f>
        <v/>
      </c>
      <c r="AQ31" s="3">
        <f>AP31+AQ30</f>
        <v/>
      </c>
      <c r="AR31" s="3">
        <f>AQ31+AR30</f>
        <v/>
      </c>
      <c r="AS31" s="3">
        <f>AR31+AS30</f>
        <v/>
      </c>
      <c r="AT31" s="3">
        <f>AS31+AT30</f>
        <v/>
      </c>
      <c r="AU31" s="3">
        <f>AT31+AU30</f>
        <v/>
      </c>
      <c r="AV31" s="3">
        <f>AU31+AV30</f>
        <v/>
      </c>
      <c r="AW31" s="3">
        <f>AV31+AW30</f>
        <v/>
      </c>
      <c r="AX31" s="3">
        <f>AW31+AX30</f>
        <v/>
      </c>
      <c r="AY31" s="3">
        <f>AX31+AY30</f>
        <v/>
      </c>
      <c r="AZ31" s="3">
        <f>AY31+AZ30</f>
        <v/>
      </c>
      <c r="BA31" s="3">
        <f>AZ31+BA30</f>
        <v/>
      </c>
      <c r="BB31" s="3">
        <f>BA31+BB30</f>
        <v/>
      </c>
      <c r="BC31" s="3">
        <f>BB31+BC30</f>
        <v/>
      </c>
      <c r="BD31" s="3">
        <f>BC31+BD30</f>
        <v/>
      </c>
      <c r="BE31" s="3">
        <f>BD31+BE30</f>
        <v/>
      </c>
      <c r="BF31" s="3">
        <f>BE31+BF30</f>
        <v/>
      </c>
      <c r="BG31" s="3">
        <f>BF31+BG30</f>
        <v/>
      </c>
      <c r="BH31" s="3">
        <f>BG31+BH30</f>
        <v/>
      </c>
      <c r="BI31" s="3">
        <f>BH31+BI30</f>
        <v/>
      </c>
      <c r="BJ31" s="3">
        <f>BI31+BJ30</f>
        <v/>
      </c>
    </row>
    <row r="32">
      <c r="A32" t="inlineStr">
        <is>
          <t>Payback flag</t>
        </is>
      </c>
      <c r="C32" s="7">
        <f>IF(C31&gt;=0,C3,999)</f>
        <v/>
      </c>
      <c r="D32" s="7">
        <f>IF(D31&gt;=0,D3,999)</f>
        <v/>
      </c>
      <c r="E32" s="7">
        <f>IF(E31&gt;=0,E3,999)</f>
        <v/>
      </c>
      <c r="F32" s="7">
        <f>IF(F31&gt;=0,F3,999)</f>
        <v/>
      </c>
      <c r="G32" s="7">
        <f>IF(G31&gt;=0,G3,999)</f>
        <v/>
      </c>
      <c r="H32" s="7">
        <f>IF(H31&gt;=0,H3,999)</f>
        <v/>
      </c>
      <c r="I32" s="7">
        <f>IF(I31&gt;=0,I3,999)</f>
        <v/>
      </c>
      <c r="J32" s="7">
        <f>IF(J31&gt;=0,J3,999)</f>
        <v/>
      </c>
      <c r="K32" s="7">
        <f>IF(K31&gt;=0,K3,999)</f>
        <v/>
      </c>
      <c r="L32" s="7">
        <f>IF(L31&gt;=0,L3,999)</f>
        <v/>
      </c>
      <c r="M32" s="7">
        <f>IF(M31&gt;=0,M3,999)</f>
        <v/>
      </c>
      <c r="N32" s="7">
        <f>IF(N31&gt;=0,N3,999)</f>
        <v/>
      </c>
      <c r="O32" s="7">
        <f>IF(O31&gt;=0,O3,999)</f>
        <v/>
      </c>
      <c r="P32" s="7">
        <f>IF(P31&gt;=0,P3,999)</f>
        <v/>
      </c>
      <c r="Q32" s="7">
        <f>IF(Q31&gt;=0,Q3,999)</f>
        <v/>
      </c>
      <c r="R32" s="7">
        <f>IF(R31&gt;=0,R3,999)</f>
        <v/>
      </c>
      <c r="S32" s="7">
        <f>IF(S31&gt;=0,S3,999)</f>
        <v/>
      </c>
      <c r="T32" s="7">
        <f>IF(T31&gt;=0,T3,999)</f>
        <v/>
      </c>
      <c r="U32" s="7">
        <f>IF(U31&gt;=0,U3,999)</f>
        <v/>
      </c>
      <c r="V32" s="7">
        <f>IF(V31&gt;=0,V3,999)</f>
        <v/>
      </c>
      <c r="W32" s="7">
        <f>IF(W31&gt;=0,W3,999)</f>
        <v/>
      </c>
      <c r="X32" s="7">
        <f>IF(X31&gt;=0,X3,999)</f>
        <v/>
      </c>
      <c r="Y32" s="7">
        <f>IF(Y31&gt;=0,Y3,999)</f>
        <v/>
      </c>
      <c r="Z32" s="7">
        <f>IF(Z31&gt;=0,Z3,999)</f>
        <v/>
      </c>
      <c r="AA32" s="7">
        <f>IF(AA31&gt;=0,AA3,999)</f>
        <v/>
      </c>
      <c r="AB32" s="7">
        <f>IF(AB31&gt;=0,AB3,999)</f>
        <v/>
      </c>
      <c r="AC32" s="7">
        <f>IF(AC31&gt;=0,AC3,999)</f>
        <v/>
      </c>
      <c r="AD32" s="7">
        <f>IF(AD31&gt;=0,AD3,999)</f>
        <v/>
      </c>
      <c r="AE32" s="7">
        <f>IF(AE31&gt;=0,AE3,999)</f>
        <v/>
      </c>
      <c r="AF32" s="7">
        <f>IF(AF31&gt;=0,AF3,999)</f>
        <v/>
      </c>
      <c r="AG32" s="7">
        <f>IF(AG31&gt;=0,AG3,999)</f>
        <v/>
      </c>
      <c r="AH32" s="7">
        <f>IF(AH31&gt;=0,AH3,999)</f>
        <v/>
      </c>
      <c r="AI32" s="7">
        <f>IF(AI31&gt;=0,AI3,999)</f>
        <v/>
      </c>
      <c r="AJ32" s="7">
        <f>IF(AJ31&gt;=0,AJ3,999)</f>
        <v/>
      </c>
      <c r="AK32" s="7">
        <f>IF(AK31&gt;=0,AK3,999)</f>
        <v/>
      </c>
      <c r="AL32" s="7">
        <f>IF(AL31&gt;=0,AL3,999)</f>
        <v/>
      </c>
      <c r="AM32" s="7">
        <f>IF(AM31&gt;=0,AM3,999)</f>
        <v/>
      </c>
      <c r="AN32" s="7">
        <f>IF(AN31&gt;=0,AN3,999)</f>
        <v/>
      </c>
      <c r="AO32" s="7">
        <f>IF(AO31&gt;=0,AO3,999)</f>
        <v/>
      </c>
      <c r="AP32" s="7">
        <f>IF(AP31&gt;=0,AP3,999)</f>
        <v/>
      </c>
      <c r="AQ32" s="7">
        <f>IF(AQ31&gt;=0,AQ3,999)</f>
        <v/>
      </c>
      <c r="AR32" s="7">
        <f>IF(AR31&gt;=0,AR3,999)</f>
        <v/>
      </c>
      <c r="AS32" s="7">
        <f>IF(AS31&gt;=0,AS3,999)</f>
        <v/>
      </c>
      <c r="AT32" s="7">
        <f>IF(AT31&gt;=0,AT3,999)</f>
        <v/>
      </c>
      <c r="AU32" s="7">
        <f>IF(AU31&gt;=0,AU3,999)</f>
        <v/>
      </c>
      <c r="AV32" s="7">
        <f>IF(AV31&gt;=0,AV3,999)</f>
        <v/>
      </c>
      <c r="AW32" s="7">
        <f>IF(AW31&gt;=0,AW3,999)</f>
        <v/>
      </c>
      <c r="AX32" s="7">
        <f>IF(AX31&gt;=0,AX3,999)</f>
        <v/>
      </c>
      <c r="AY32" s="7">
        <f>IF(AY31&gt;=0,AY3,999)</f>
        <v/>
      </c>
      <c r="AZ32" s="7">
        <f>IF(AZ31&gt;=0,AZ3,999)</f>
        <v/>
      </c>
      <c r="BA32" s="7">
        <f>IF(BA31&gt;=0,BA3,999)</f>
        <v/>
      </c>
      <c r="BB32" s="7">
        <f>IF(BB31&gt;=0,BB3,999)</f>
        <v/>
      </c>
      <c r="BC32" s="7">
        <f>IF(BC31&gt;=0,BC3,999)</f>
        <v/>
      </c>
      <c r="BD32" s="7">
        <f>IF(BD31&gt;=0,BD3,999)</f>
        <v/>
      </c>
      <c r="BE32" s="7">
        <f>IF(BE31&gt;=0,BE3,999)</f>
        <v/>
      </c>
      <c r="BF32" s="7">
        <f>IF(BF31&gt;=0,BF3,999)</f>
        <v/>
      </c>
      <c r="BG32" s="7">
        <f>IF(BG31&gt;=0,BG3,999)</f>
        <v/>
      </c>
      <c r="BH32" s="7">
        <f>IF(BH31&gt;=0,BH3,999)</f>
        <v/>
      </c>
      <c r="BI32" s="7">
        <f>IF(BI31&gt;=0,BI3,999)</f>
        <v/>
      </c>
      <c r="BJ32" s="7">
        <f>IF(BJ31&gt;=0,BJ3,999)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</cols>
  <sheetData>
    <row r="1">
      <c r="A1" s="8" t="inlineStr">
        <is>
          <t>Drive-thru — monthly engine — OPTIMISTIC scenario (AMD)</t>
        </is>
      </c>
    </row>
    <row r="2">
      <c r="B2" s="18" t="inlineStr">
        <is>
          <t>Units</t>
        </is>
      </c>
      <c r="C2" s="18">
        <f>CHOOSE(C5,"Jan","Feb","Mar","Apr","May","Jun","Jul","Aug","Sep","Oct","Nov","Dec")&amp;" Y"&amp;C4</f>
        <v/>
      </c>
      <c r="D2" s="18">
        <f>CHOOSE(D5,"Jan","Feb","Mar","Apr","May","Jun","Jul","Aug","Sep","Oct","Nov","Dec")&amp;" Y"&amp;D4</f>
        <v/>
      </c>
      <c r="E2" s="18">
        <f>CHOOSE(E5,"Jan","Feb","Mar","Apr","May","Jun","Jul","Aug","Sep","Oct","Nov","Dec")&amp;" Y"&amp;E4</f>
        <v/>
      </c>
      <c r="F2" s="18">
        <f>CHOOSE(F5,"Jan","Feb","Mar","Apr","May","Jun","Jul","Aug","Sep","Oct","Nov","Dec")&amp;" Y"&amp;F4</f>
        <v/>
      </c>
      <c r="G2" s="18">
        <f>CHOOSE(G5,"Jan","Feb","Mar","Apr","May","Jun","Jul","Aug","Sep","Oct","Nov","Dec")&amp;" Y"&amp;G4</f>
        <v/>
      </c>
      <c r="H2" s="18">
        <f>CHOOSE(H5,"Jan","Feb","Mar","Apr","May","Jun","Jul","Aug","Sep","Oct","Nov","Dec")&amp;" Y"&amp;H4</f>
        <v/>
      </c>
      <c r="I2" s="18">
        <f>CHOOSE(I5,"Jan","Feb","Mar","Apr","May","Jun","Jul","Aug","Sep","Oct","Nov","Dec")&amp;" Y"&amp;I4</f>
        <v/>
      </c>
      <c r="J2" s="18">
        <f>CHOOSE(J5,"Jan","Feb","Mar","Apr","May","Jun","Jul","Aug","Sep","Oct","Nov","Dec")&amp;" Y"&amp;J4</f>
        <v/>
      </c>
      <c r="K2" s="18">
        <f>CHOOSE(K5,"Jan","Feb","Mar","Apr","May","Jun","Jul","Aug","Sep","Oct","Nov","Dec")&amp;" Y"&amp;K4</f>
        <v/>
      </c>
      <c r="L2" s="18">
        <f>CHOOSE(L5,"Jan","Feb","Mar","Apr","May","Jun","Jul","Aug","Sep","Oct","Nov","Dec")&amp;" Y"&amp;L4</f>
        <v/>
      </c>
      <c r="M2" s="18">
        <f>CHOOSE(M5,"Jan","Feb","Mar","Apr","May","Jun","Jul","Aug","Sep","Oct","Nov","Dec")&amp;" Y"&amp;M4</f>
        <v/>
      </c>
      <c r="N2" s="18">
        <f>CHOOSE(N5,"Jan","Feb","Mar","Apr","May","Jun","Jul","Aug","Sep","Oct","Nov","Dec")&amp;" Y"&amp;N4</f>
        <v/>
      </c>
      <c r="O2" s="18">
        <f>CHOOSE(O5,"Jan","Feb","Mar","Apr","May","Jun","Jul","Aug","Sep","Oct","Nov","Dec")&amp;" Y"&amp;O4</f>
        <v/>
      </c>
      <c r="P2" s="18">
        <f>CHOOSE(P5,"Jan","Feb","Mar","Apr","May","Jun","Jul","Aug","Sep","Oct","Nov","Dec")&amp;" Y"&amp;P4</f>
        <v/>
      </c>
      <c r="Q2" s="18">
        <f>CHOOSE(Q5,"Jan","Feb","Mar","Apr","May","Jun","Jul","Aug","Sep","Oct","Nov","Dec")&amp;" Y"&amp;Q4</f>
        <v/>
      </c>
      <c r="R2" s="18">
        <f>CHOOSE(R5,"Jan","Feb","Mar","Apr","May","Jun","Jul","Aug","Sep","Oct","Nov","Dec")&amp;" Y"&amp;R4</f>
        <v/>
      </c>
      <c r="S2" s="18">
        <f>CHOOSE(S5,"Jan","Feb","Mar","Apr","May","Jun","Jul","Aug","Sep","Oct","Nov","Dec")&amp;" Y"&amp;S4</f>
        <v/>
      </c>
      <c r="T2" s="18">
        <f>CHOOSE(T5,"Jan","Feb","Mar","Apr","May","Jun","Jul","Aug","Sep","Oct","Nov","Dec")&amp;" Y"&amp;T4</f>
        <v/>
      </c>
      <c r="U2" s="18">
        <f>CHOOSE(U5,"Jan","Feb","Mar","Apr","May","Jun","Jul","Aug","Sep","Oct","Nov","Dec")&amp;" Y"&amp;U4</f>
        <v/>
      </c>
      <c r="V2" s="18">
        <f>CHOOSE(V5,"Jan","Feb","Mar","Apr","May","Jun","Jul","Aug","Sep","Oct","Nov","Dec")&amp;" Y"&amp;V4</f>
        <v/>
      </c>
      <c r="W2" s="18">
        <f>CHOOSE(W5,"Jan","Feb","Mar","Apr","May","Jun","Jul","Aug","Sep","Oct","Nov","Dec")&amp;" Y"&amp;W4</f>
        <v/>
      </c>
      <c r="X2" s="18">
        <f>CHOOSE(X5,"Jan","Feb","Mar","Apr","May","Jun","Jul","Aug","Sep","Oct","Nov","Dec")&amp;" Y"&amp;X4</f>
        <v/>
      </c>
      <c r="Y2" s="18">
        <f>CHOOSE(Y5,"Jan","Feb","Mar","Apr","May","Jun","Jul","Aug","Sep","Oct","Nov","Dec")&amp;" Y"&amp;Y4</f>
        <v/>
      </c>
      <c r="Z2" s="18">
        <f>CHOOSE(Z5,"Jan","Feb","Mar","Apr","May","Jun","Jul","Aug","Sep","Oct","Nov","Dec")&amp;" Y"&amp;Z4</f>
        <v/>
      </c>
      <c r="AA2" s="18">
        <f>CHOOSE(AA5,"Jan","Feb","Mar","Apr","May","Jun","Jul","Aug","Sep","Oct","Nov","Dec")&amp;" Y"&amp;AA4</f>
        <v/>
      </c>
      <c r="AB2" s="18">
        <f>CHOOSE(AB5,"Jan","Feb","Mar","Apr","May","Jun","Jul","Aug","Sep","Oct","Nov","Dec")&amp;" Y"&amp;AB4</f>
        <v/>
      </c>
      <c r="AC2" s="18">
        <f>CHOOSE(AC5,"Jan","Feb","Mar","Apr","May","Jun","Jul","Aug","Sep","Oct","Nov","Dec")&amp;" Y"&amp;AC4</f>
        <v/>
      </c>
      <c r="AD2" s="18">
        <f>CHOOSE(AD5,"Jan","Feb","Mar","Apr","May","Jun","Jul","Aug","Sep","Oct","Nov","Dec")&amp;" Y"&amp;AD4</f>
        <v/>
      </c>
      <c r="AE2" s="18">
        <f>CHOOSE(AE5,"Jan","Feb","Mar","Apr","May","Jun","Jul","Aug","Sep","Oct","Nov","Dec")&amp;" Y"&amp;AE4</f>
        <v/>
      </c>
      <c r="AF2" s="18">
        <f>CHOOSE(AF5,"Jan","Feb","Mar","Apr","May","Jun","Jul","Aug","Sep","Oct","Nov","Dec")&amp;" Y"&amp;AF4</f>
        <v/>
      </c>
      <c r="AG2" s="18">
        <f>CHOOSE(AG5,"Jan","Feb","Mar","Apr","May","Jun","Jul","Aug","Sep","Oct","Nov","Dec")&amp;" Y"&amp;AG4</f>
        <v/>
      </c>
      <c r="AH2" s="18">
        <f>CHOOSE(AH5,"Jan","Feb","Mar","Apr","May","Jun","Jul","Aug","Sep","Oct","Nov","Dec")&amp;" Y"&amp;AH4</f>
        <v/>
      </c>
      <c r="AI2" s="18">
        <f>CHOOSE(AI5,"Jan","Feb","Mar","Apr","May","Jun","Jul","Aug","Sep","Oct","Nov","Dec")&amp;" Y"&amp;AI4</f>
        <v/>
      </c>
      <c r="AJ2" s="18">
        <f>CHOOSE(AJ5,"Jan","Feb","Mar","Apr","May","Jun","Jul","Aug","Sep","Oct","Nov","Dec")&amp;" Y"&amp;AJ4</f>
        <v/>
      </c>
      <c r="AK2" s="18">
        <f>CHOOSE(AK5,"Jan","Feb","Mar","Apr","May","Jun","Jul","Aug","Sep","Oct","Nov","Dec")&amp;" Y"&amp;AK4</f>
        <v/>
      </c>
      <c r="AL2" s="18">
        <f>CHOOSE(AL5,"Jan","Feb","Mar","Apr","May","Jun","Jul","Aug","Sep","Oct","Nov","Dec")&amp;" Y"&amp;AL4</f>
        <v/>
      </c>
      <c r="AM2" s="18">
        <f>CHOOSE(AM5,"Jan","Feb","Mar","Apr","May","Jun","Jul","Aug","Sep","Oct","Nov","Dec")&amp;" Y"&amp;AM4</f>
        <v/>
      </c>
      <c r="AN2" s="18">
        <f>CHOOSE(AN5,"Jan","Feb","Mar","Apr","May","Jun","Jul","Aug","Sep","Oct","Nov","Dec")&amp;" Y"&amp;AN4</f>
        <v/>
      </c>
      <c r="AO2" s="18">
        <f>CHOOSE(AO5,"Jan","Feb","Mar","Apr","May","Jun","Jul","Aug","Sep","Oct","Nov","Dec")&amp;" Y"&amp;AO4</f>
        <v/>
      </c>
      <c r="AP2" s="18">
        <f>CHOOSE(AP5,"Jan","Feb","Mar","Apr","May","Jun","Jul","Aug","Sep","Oct","Nov","Dec")&amp;" Y"&amp;AP4</f>
        <v/>
      </c>
      <c r="AQ2" s="18">
        <f>CHOOSE(AQ5,"Jan","Feb","Mar","Apr","May","Jun","Jul","Aug","Sep","Oct","Nov","Dec")&amp;" Y"&amp;AQ4</f>
        <v/>
      </c>
      <c r="AR2" s="18">
        <f>CHOOSE(AR5,"Jan","Feb","Mar","Apr","May","Jun","Jul","Aug","Sep","Oct","Nov","Dec")&amp;" Y"&amp;AR4</f>
        <v/>
      </c>
      <c r="AS2" s="18">
        <f>CHOOSE(AS5,"Jan","Feb","Mar","Apr","May","Jun","Jul","Aug","Sep","Oct","Nov","Dec")&amp;" Y"&amp;AS4</f>
        <v/>
      </c>
      <c r="AT2" s="18">
        <f>CHOOSE(AT5,"Jan","Feb","Mar","Apr","May","Jun","Jul","Aug","Sep","Oct","Nov","Dec")&amp;" Y"&amp;AT4</f>
        <v/>
      </c>
      <c r="AU2" s="18">
        <f>CHOOSE(AU5,"Jan","Feb","Mar","Apr","May","Jun","Jul","Aug","Sep","Oct","Nov","Dec")&amp;" Y"&amp;AU4</f>
        <v/>
      </c>
      <c r="AV2" s="18">
        <f>CHOOSE(AV5,"Jan","Feb","Mar","Apr","May","Jun","Jul","Aug","Sep","Oct","Nov","Dec")&amp;" Y"&amp;AV4</f>
        <v/>
      </c>
      <c r="AW2" s="18">
        <f>CHOOSE(AW5,"Jan","Feb","Mar","Apr","May","Jun","Jul","Aug","Sep","Oct","Nov","Dec")&amp;" Y"&amp;AW4</f>
        <v/>
      </c>
      <c r="AX2" s="18">
        <f>CHOOSE(AX5,"Jan","Feb","Mar","Apr","May","Jun","Jul","Aug","Sep","Oct","Nov","Dec")&amp;" Y"&amp;AX4</f>
        <v/>
      </c>
      <c r="AY2" s="18">
        <f>CHOOSE(AY5,"Jan","Feb","Mar","Apr","May","Jun","Jul","Aug","Sep","Oct","Nov","Dec")&amp;" Y"&amp;AY4</f>
        <v/>
      </c>
      <c r="AZ2" s="18">
        <f>CHOOSE(AZ5,"Jan","Feb","Mar","Apr","May","Jun","Jul","Aug","Sep","Oct","Nov","Dec")&amp;" Y"&amp;AZ4</f>
        <v/>
      </c>
      <c r="BA2" s="18">
        <f>CHOOSE(BA5,"Jan","Feb","Mar","Apr","May","Jun","Jul","Aug","Sep","Oct","Nov","Dec")&amp;" Y"&amp;BA4</f>
        <v/>
      </c>
      <c r="BB2" s="18">
        <f>CHOOSE(BB5,"Jan","Feb","Mar","Apr","May","Jun","Jul","Aug","Sep","Oct","Nov","Dec")&amp;" Y"&amp;BB4</f>
        <v/>
      </c>
      <c r="BC2" s="18">
        <f>CHOOSE(BC5,"Jan","Feb","Mar","Apr","May","Jun","Jul","Aug","Sep","Oct","Nov","Dec")&amp;" Y"&amp;BC4</f>
        <v/>
      </c>
      <c r="BD2" s="18">
        <f>CHOOSE(BD5,"Jan","Feb","Mar","Apr","May","Jun","Jul","Aug","Sep","Oct","Nov","Dec")&amp;" Y"&amp;BD4</f>
        <v/>
      </c>
      <c r="BE2" s="18">
        <f>CHOOSE(BE5,"Jan","Feb","Mar","Apr","May","Jun","Jul","Aug","Sep","Oct","Nov","Dec")&amp;" Y"&amp;BE4</f>
        <v/>
      </c>
      <c r="BF2" s="18">
        <f>CHOOSE(BF5,"Jan","Feb","Mar","Apr","May","Jun","Jul","Aug","Sep","Oct","Nov","Dec")&amp;" Y"&amp;BF4</f>
        <v/>
      </c>
      <c r="BG2" s="18">
        <f>CHOOSE(BG5,"Jan","Feb","Mar","Apr","May","Jun","Jul","Aug","Sep","Oct","Nov","Dec")&amp;" Y"&amp;BG4</f>
        <v/>
      </c>
      <c r="BH2" s="18">
        <f>CHOOSE(BH5,"Jan","Feb","Mar","Apr","May","Jun","Jul","Aug","Sep","Oct","Nov","Dec")&amp;" Y"&amp;BH4</f>
        <v/>
      </c>
      <c r="BI2" s="18">
        <f>CHOOSE(BI5,"Jan","Feb","Mar","Apr","May","Jun","Jul","Aug","Sep","Oct","Nov","Dec")&amp;" Y"&amp;BI4</f>
        <v/>
      </c>
      <c r="BJ2" s="18">
        <f>CHOOSE(BJ5,"Jan","Feb","Mar","Apr","May","Jun","Jul","Aug","Sep","Oct","Nov","Dec")&amp;" Y"&amp;BJ4</f>
        <v/>
      </c>
    </row>
    <row r="3">
      <c r="A3" t="inlineStr">
        <is>
          <t>Month #</t>
        </is>
      </c>
      <c r="C3" s="7" t="n">
        <v>1</v>
      </c>
      <c r="D3" s="7" t="n">
        <v>2</v>
      </c>
      <c r="E3" s="7" t="n">
        <v>3</v>
      </c>
      <c r="F3" s="7" t="n">
        <v>4</v>
      </c>
      <c r="G3" s="7" t="n">
        <v>5</v>
      </c>
      <c r="H3" s="7" t="n">
        <v>6</v>
      </c>
      <c r="I3" s="7" t="n">
        <v>7</v>
      </c>
      <c r="J3" s="7" t="n">
        <v>8</v>
      </c>
      <c r="K3" s="7" t="n">
        <v>9</v>
      </c>
      <c r="L3" s="7" t="n">
        <v>10</v>
      </c>
      <c r="M3" s="7" t="n">
        <v>11</v>
      </c>
      <c r="N3" s="7" t="n">
        <v>12</v>
      </c>
      <c r="O3" s="7" t="n">
        <v>13</v>
      </c>
      <c r="P3" s="7" t="n">
        <v>14</v>
      </c>
      <c r="Q3" s="7" t="n">
        <v>15</v>
      </c>
      <c r="R3" s="7" t="n">
        <v>16</v>
      </c>
      <c r="S3" s="7" t="n">
        <v>17</v>
      </c>
      <c r="T3" s="7" t="n">
        <v>18</v>
      </c>
      <c r="U3" s="7" t="n">
        <v>19</v>
      </c>
      <c r="V3" s="7" t="n">
        <v>20</v>
      </c>
      <c r="W3" s="7" t="n">
        <v>21</v>
      </c>
      <c r="X3" s="7" t="n">
        <v>22</v>
      </c>
      <c r="Y3" s="7" t="n">
        <v>23</v>
      </c>
      <c r="Z3" s="7" t="n">
        <v>24</v>
      </c>
      <c r="AA3" s="7" t="n">
        <v>25</v>
      </c>
      <c r="AB3" s="7" t="n">
        <v>26</v>
      </c>
      <c r="AC3" s="7" t="n">
        <v>27</v>
      </c>
      <c r="AD3" s="7" t="n">
        <v>28</v>
      </c>
      <c r="AE3" s="7" t="n">
        <v>29</v>
      </c>
      <c r="AF3" s="7" t="n">
        <v>30</v>
      </c>
      <c r="AG3" s="7" t="n">
        <v>31</v>
      </c>
      <c r="AH3" s="7" t="n">
        <v>32</v>
      </c>
      <c r="AI3" s="7" t="n">
        <v>33</v>
      </c>
      <c r="AJ3" s="7" t="n">
        <v>34</v>
      </c>
      <c r="AK3" s="7" t="n">
        <v>35</v>
      </c>
      <c r="AL3" s="7" t="n">
        <v>36</v>
      </c>
      <c r="AM3" s="7" t="n">
        <v>37</v>
      </c>
      <c r="AN3" s="7" t="n">
        <v>38</v>
      </c>
      <c r="AO3" s="7" t="n">
        <v>39</v>
      </c>
      <c r="AP3" s="7" t="n">
        <v>40</v>
      </c>
      <c r="AQ3" s="7" t="n">
        <v>41</v>
      </c>
      <c r="AR3" s="7" t="n">
        <v>42</v>
      </c>
      <c r="AS3" s="7" t="n">
        <v>43</v>
      </c>
      <c r="AT3" s="7" t="n">
        <v>44</v>
      </c>
      <c r="AU3" s="7" t="n">
        <v>45</v>
      </c>
      <c r="AV3" s="7" t="n">
        <v>46</v>
      </c>
      <c r="AW3" s="7" t="n">
        <v>47</v>
      </c>
      <c r="AX3" s="7" t="n">
        <v>48</v>
      </c>
      <c r="AY3" s="7" t="n">
        <v>49</v>
      </c>
      <c r="AZ3" s="7" t="n">
        <v>50</v>
      </c>
      <c r="BA3" s="7" t="n">
        <v>51</v>
      </c>
      <c r="BB3" s="7" t="n">
        <v>52</v>
      </c>
      <c r="BC3" s="7" t="n">
        <v>53</v>
      </c>
      <c r="BD3" s="7" t="n">
        <v>54</v>
      </c>
      <c r="BE3" s="7" t="n">
        <v>55</v>
      </c>
      <c r="BF3" s="7" t="n">
        <v>56</v>
      </c>
      <c r="BG3" s="7" t="n">
        <v>57</v>
      </c>
      <c r="BH3" s="7" t="n">
        <v>58</v>
      </c>
      <c r="BI3" s="7" t="n">
        <v>59</v>
      </c>
      <c r="BJ3" s="7" t="n">
        <v>60</v>
      </c>
    </row>
    <row r="4">
      <c r="A4" t="inlineStr">
        <is>
          <t>Year</t>
        </is>
      </c>
      <c r="C4" s="7">
        <f>INT((C3-1)/12)+1</f>
        <v/>
      </c>
      <c r="D4" s="7">
        <f>INT((D3-1)/12)+1</f>
        <v/>
      </c>
      <c r="E4" s="7">
        <f>INT((E3-1)/12)+1</f>
        <v/>
      </c>
      <c r="F4" s="7">
        <f>INT((F3-1)/12)+1</f>
        <v/>
      </c>
      <c r="G4" s="7">
        <f>INT((G3-1)/12)+1</f>
        <v/>
      </c>
      <c r="H4" s="7">
        <f>INT((H3-1)/12)+1</f>
        <v/>
      </c>
      <c r="I4" s="7">
        <f>INT((I3-1)/12)+1</f>
        <v/>
      </c>
      <c r="J4" s="7">
        <f>INT((J3-1)/12)+1</f>
        <v/>
      </c>
      <c r="K4" s="7">
        <f>INT((K3-1)/12)+1</f>
        <v/>
      </c>
      <c r="L4" s="7">
        <f>INT((L3-1)/12)+1</f>
        <v/>
      </c>
      <c r="M4" s="7">
        <f>INT((M3-1)/12)+1</f>
        <v/>
      </c>
      <c r="N4" s="7">
        <f>INT((N3-1)/12)+1</f>
        <v/>
      </c>
      <c r="O4" s="7">
        <f>INT((O3-1)/12)+1</f>
        <v/>
      </c>
      <c r="P4" s="7">
        <f>INT((P3-1)/12)+1</f>
        <v/>
      </c>
      <c r="Q4" s="7">
        <f>INT((Q3-1)/12)+1</f>
        <v/>
      </c>
      <c r="R4" s="7">
        <f>INT((R3-1)/12)+1</f>
        <v/>
      </c>
      <c r="S4" s="7">
        <f>INT((S3-1)/12)+1</f>
        <v/>
      </c>
      <c r="T4" s="7">
        <f>INT((T3-1)/12)+1</f>
        <v/>
      </c>
      <c r="U4" s="7">
        <f>INT((U3-1)/12)+1</f>
        <v/>
      </c>
      <c r="V4" s="7">
        <f>INT((V3-1)/12)+1</f>
        <v/>
      </c>
      <c r="W4" s="7">
        <f>INT((W3-1)/12)+1</f>
        <v/>
      </c>
      <c r="X4" s="7">
        <f>INT((X3-1)/12)+1</f>
        <v/>
      </c>
      <c r="Y4" s="7">
        <f>INT((Y3-1)/12)+1</f>
        <v/>
      </c>
      <c r="Z4" s="7">
        <f>INT((Z3-1)/12)+1</f>
        <v/>
      </c>
      <c r="AA4" s="7">
        <f>INT((AA3-1)/12)+1</f>
        <v/>
      </c>
      <c r="AB4" s="7">
        <f>INT((AB3-1)/12)+1</f>
        <v/>
      </c>
      <c r="AC4" s="7">
        <f>INT((AC3-1)/12)+1</f>
        <v/>
      </c>
      <c r="AD4" s="7">
        <f>INT((AD3-1)/12)+1</f>
        <v/>
      </c>
      <c r="AE4" s="7">
        <f>INT((AE3-1)/12)+1</f>
        <v/>
      </c>
      <c r="AF4" s="7">
        <f>INT((AF3-1)/12)+1</f>
        <v/>
      </c>
      <c r="AG4" s="7">
        <f>INT((AG3-1)/12)+1</f>
        <v/>
      </c>
      <c r="AH4" s="7">
        <f>INT((AH3-1)/12)+1</f>
        <v/>
      </c>
      <c r="AI4" s="7">
        <f>INT((AI3-1)/12)+1</f>
        <v/>
      </c>
      <c r="AJ4" s="7">
        <f>INT((AJ3-1)/12)+1</f>
        <v/>
      </c>
      <c r="AK4" s="7">
        <f>INT((AK3-1)/12)+1</f>
        <v/>
      </c>
      <c r="AL4" s="7">
        <f>INT((AL3-1)/12)+1</f>
        <v/>
      </c>
      <c r="AM4" s="7">
        <f>INT((AM3-1)/12)+1</f>
        <v/>
      </c>
      <c r="AN4" s="7">
        <f>INT((AN3-1)/12)+1</f>
        <v/>
      </c>
      <c r="AO4" s="7">
        <f>INT((AO3-1)/12)+1</f>
        <v/>
      </c>
      <c r="AP4" s="7">
        <f>INT((AP3-1)/12)+1</f>
        <v/>
      </c>
      <c r="AQ4" s="7">
        <f>INT((AQ3-1)/12)+1</f>
        <v/>
      </c>
      <c r="AR4" s="7">
        <f>INT((AR3-1)/12)+1</f>
        <v/>
      </c>
      <c r="AS4" s="7">
        <f>INT((AS3-1)/12)+1</f>
        <v/>
      </c>
      <c r="AT4" s="7">
        <f>INT((AT3-1)/12)+1</f>
        <v/>
      </c>
      <c r="AU4" s="7">
        <f>INT((AU3-1)/12)+1</f>
        <v/>
      </c>
      <c r="AV4" s="7">
        <f>INT((AV3-1)/12)+1</f>
        <v/>
      </c>
      <c r="AW4" s="7">
        <f>INT((AW3-1)/12)+1</f>
        <v/>
      </c>
      <c r="AX4" s="7">
        <f>INT((AX3-1)/12)+1</f>
        <v/>
      </c>
      <c r="AY4" s="7">
        <f>INT((AY3-1)/12)+1</f>
        <v/>
      </c>
      <c r="AZ4" s="7">
        <f>INT((AZ3-1)/12)+1</f>
        <v/>
      </c>
      <c r="BA4" s="7">
        <f>INT((BA3-1)/12)+1</f>
        <v/>
      </c>
      <c r="BB4" s="7">
        <f>INT((BB3-1)/12)+1</f>
        <v/>
      </c>
      <c r="BC4" s="7">
        <f>INT((BC3-1)/12)+1</f>
        <v/>
      </c>
      <c r="BD4" s="7">
        <f>INT((BD3-1)/12)+1</f>
        <v/>
      </c>
      <c r="BE4" s="7">
        <f>INT((BE3-1)/12)+1</f>
        <v/>
      </c>
      <c r="BF4" s="7">
        <f>INT((BF3-1)/12)+1</f>
        <v/>
      </c>
      <c r="BG4" s="7">
        <f>INT((BG3-1)/12)+1</f>
        <v/>
      </c>
      <c r="BH4" s="7">
        <f>INT((BH3-1)/12)+1</f>
        <v/>
      </c>
      <c r="BI4" s="7">
        <f>INT((BI3-1)/12)+1</f>
        <v/>
      </c>
      <c r="BJ4" s="7">
        <f>INT((BJ3-1)/12)+1</f>
        <v/>
      </c>
    </row>
    <row r="5">
      <c r="A5" t="inlineStr">
        <is>
          <t>Calendar month (1-12)</t>
        </is>
      </c>
      <c r="C5" s="7">
        <f>MOD(Inputs!$F$8-1+C3-1,12)+1</f>
        <v/>
      </c>
      <c r="D5" s="7">
        <f>MOD(Inputs!$F$8-1+D3-1,12)+1</f>
        <v/>
      </c>
      <c r="E5" s="7">
        <f>MOD(Inputs!$F$8-1+E3-1,12)+1</f>
        <v/>
      </c>
      <c r="F5" s="7">
        <f>MOD(Inputs!$F$8-1+F3-1,12)+1</f>
        <v/>
      </c>
      <c r="G5" s="7">
        <f>MOD(Inputs!$F$8-1+G3-1,12)+1</f>
        <v/>
      </c>
      <c r="H5" s="7">
        <f>MOD(Inputs!$F$8-1+H3-1,12)+1</f>
        <v/>
      </c>
      <c r="I5" s="7">
        <f>MOD(Inputs!$F$8-1+I3-1,12)+1</f>
        <v/>
      </c>
      <c r="J5" s="7">
        <f>MOD(Inputs!$F$8-1+J3-1,12)+1</f>
        <v/>
      </c>
      <c r="K5" s="7">
        <f>MOD(Inputs!$F$8-1+K3-1,12)+1</f>
        <v/>
      </c>
      <c r="L5" s="7">
        <f>MOD(Inputs!$F$8-1+L3-1,12)+1</f>
        <v/>
      </c>
      <c r="M5" s="7">
        <f>MOD(Inputs!$F$8-1+M3-1,12)+1</f>
        <v/>
      </c>
      <c r="N5" s="7">
        <f>MOD(Inputs!$F$8-1+N3-1,12)+1</f>
        <v/>
      </c>
      <c r="O5" s="7">
        <f>MOD(Inputs!$F$8-1+O3-1,12)+1</f>
        <v/>
      </c>
      <c r="P5" s="7">
        <f>MOD(Inputs!$F$8-1+P3-1,12)+1</f>
        <v/>
      </c>
      <c r="Q5" s="7">
        <f>MOD(Inputs!$F$8-1+Q3-1,12)+1</f>
        <v/>
      </c>
      <c r="R5" s="7">
        <f>MOD(Inputs!$F$8-1+R3-1,12)+1</f>
        <v/>
      </c>
      <c r="S5" s="7">
        <f>MOD(Inputs!$F$8-1+S3-1,12)+1</f>
        <v/>
      </c>
      <c r="T5" s="7">
        <f>MOD(Inputs!$F$8-1+T3-1,12)+1</f>
        <v/>
      </c>
      <c r="U5" s="7">
        <f>MOD(Inputs!$F$8-1+U3-1,12)+1</f>
        <v/>
      </c>
      <c r="V5" s="7">
        <f>MOD(Inputs!$F$8-1+V3-1,12)+1</f>
        <v/>
      </c>
      <c r="W5" s="7">
        <f>MOD(Inputs!$F$8-1+W3-1,12)+1</f>
        <v/>
      </c>
      <c r="X5" s="7">
        <f>MOD(Inputs!$F$8-1+X3-1,12)+1</f>
        <v/>
      </c>
      <c r="Y5" s="7">
        <f>MOD(Inputs!$F$8-1+Y3-1,12)+1</f>
        <v/>
      </c>
      <c r="Z5" s="7">
        <f>MOD(Inputs!$F$8-1+Z3-1,12)+1</f>
        <v/>
      </c>
      <c r="AA5" s="7">
        <f>MOD(Inputs!$F$8-1+AA3-1,12)+1</f>
        <v/>
      </c>
      <c r="AB5" s="7">
        <f>MOD(Inputs!$F$8-1+AB3-1,12)+1</f>
        <v/>
      </c>
      <c r="AC5" s="7">
        <f>MOD(Inputs!$F$8-1+AC3-1,12)+1</f>
        <v/>
      </c>
      <c r="AD5" s="7">
        <f>MOD(Inputs!$F$8-1+AD3-1,12)+1</f>
        <v/>
      </c>
      <c r="AE5" s="7">
        <f>MOD(Inputs!$F$8-1+AE3-1,12)+1</f>
        <v/>
      </c>
      <c r="AF5" s="7">
        <f>MOD(Inputs!$F$8-1+AF3-1,12)+1</f>
        <v/>
      </c>
      <c r="AG5" s="7">
        <f>MOD(Inputs!$F$8-1+AG3-1,12)+1</f>
        <v/>
      </c>
      <c r="AH5" s="7">
        <f>MOD(Inputs!$F$8-1+AH3-1,12)+1</f>
        <v/>
      </c>
      <c r="AI5" s="7">
        <f>MOD(Inputs!$F$8-1+AI3-1,12)+1</f>
        <v/>
      </c>
      <c r="AJ5" s="7">
        <f>MOD(Inputs!$F$8-1+AJ3-1,12)+1</f>
        <v/>
      </c>
      <c r="AK5" s="7">
        <f>MOD(Inputs!$F$8-1+AK3-1,12)+1</f>
        <v/>
      </c>
      <c r="AL5" s="7">
        <f>MOD(Inputs!$F$8-1+AL3-1,12)+1</f>
        <v/>
      </c>
      <c r="AM5" s="7">
        <f>MOD(Inputs!$F$8-1+AM3-1,12)+1</f>
        <v/>
      </c>
      <c r="AN5" s="7">
        <f>MOD(Inputs!$F$8-1+AN3-1,12)+1</f>
        <v/>
      </c>
      <c r="AO5" s="7">
        <f>MOD(Inputs!$F$8-1+AO3-1,12)+1</f>
        <v/>
      </c>
      <c r="AP5" s="7">
        <f>MOD(Inputs!$F$8-1+AP3-1,12)+1</f>
        <v/>
      </c>
      <c r="AQ5" s="7">
        <f>MOD(Inputs!$F$8-1+AQ3-1,12)+1</f>
        <v/>
      </c>
      <c r="AR5" s="7">
        <f>MOD(Inputs!$F$8-1+AR3-1,12)+1</f>
        <v/>
      </c>
      <c r="AS5" s="7">
        <f>MOD(Inputs!$F$8-1+AS3-1,12)+1</f>
        <v/>
      </c>
      <c r="AT5" s="7">
        <f>MOD(Inputs!$F$8-1+AT3-1,12)+1</f>
        <v/>
      </c>
      <c r="AU5" s="7">
        <f>MOD(Inputs!$F$8-1+AU3-1,12)+1</f>
        <v/>
      </c>
      <c r="AV5" s="7">
        <f>MOD(Inputs!$F$8-1+AV3-1,12)+1</f>
        <v/>
      </c>
      <c r="AW5" s="7">
        <f>MOD(Inputs!$F$8-1+AW3-1,12)+1</f>
        <v/>
      </c>
      <c r="AX5" s="7">
        <f>MOD(Inputs!$F$8-1+AX3-1,12)+1</f>
        <v/>
      </c>
      <c r="AY5" s="7">
        <f>MOD(Inputs!$F$8-1+AY3-1,12)+1</f>
        <v/>
      </c>
      <c r="AZ5" s="7">
        <f>MOD(Inputs!$F$8-1+AZ3-1,12)+1</f>
        <v/>
      </c>
      <c r="BA5" s="7">
        <f>MOD(Inputs!$F$8-1+BA3-1,12)+1</f>
        <v/>
      </c>
      <c r="BB5" s="7">
        <f>MOD(Inputs!$F$8-1+BB3-1,12)+1</f>
        <v/>
      </c>
      <c r="BC5" s="7">
        <f>MOD(Inputs!$F$8-1+BC3-1,12)+1</f>
        <v/>
      </c>
      <c r="BD5" s="7">
        <f>MOD(Inputs!$F$8-1+BD3-1,12)+1</f>
        <v/>
      </c>
      <c r="BE5" s="7">
        <f>MOD(Inputs!$F$8-1+BE3-1,12)+1</f>
        <v/>
      </c>
      <c r="BF5" s="7">
        <f>MOD(Inputs!$F$8-1+BF3-1,12)+1</f>
        <v/>
      </c>
      <c r="BG5" s="7">
        <f>MOD(Inputs!$F$8-1+BG3-1,12)+1</f>
        <v/>
      </c>
      <c r="BH5" s="7">
        <f>MOD(Inputs!$F$8-1+BH3-1,12)+1</f>
        <v/>
      </c>
      <c r="BI5" s="7">
        <f>MOD(Inputs!$F$8-1+BI3-1,12)+1</f>
        <v/>
      </c>
      <c r="BJ5" s="7">
        <f>MOD(Inputs!$F$8-1+BJ3-1,12)+1</f>
        <v/>
      </c>
    </row>
    <row r="6">
      <c r="A6" t="inlineStr">
        <is>
          <t>Trading days</t>
        </is>
      </c>
      <c r="C6" s="24">
        <f>CHOOSE(C5,31,28,31,30,31,30,31,31,30,31,30,31)*Inputs!$F$9/365</f>
        <v/>
      </c>
      <c r="D6" s="24">
        <f>CHOOSE(D5,31,28,31,30,31,30,31,31,30,31,30,31)*Inputs!$F$9/365</f>
        <v/>
      </c>
      <c r="E6" s="24">
        <f>CHOOSE(E5,31,28,31,30,31,30,31,31,30,31,30,31)*Inputs!$F$9/365</f>
        <v/>
      </c>
      <c r="F6" s="24">
        <f>CHOOSE(F5,31,28,31,30,31,30,31,31,30,31,30,31)*Inputs!$F$9/365</f>
        <v/>
      </c>
      <c r="G6" s="24">
        <f>CHOOSE(G5,31,28,31,30,31,30,31,31,30,31,30,31)*Inputs!$F$9/365</f>
        <v/>
      </c>
      <c r="H6" s="24">
        <f>CHOOSE(H5,31,28,31,30,31,30,31,31,30,31,30,31)*Inputs!$F$9/365</f>
        <v/>
      </c>
      <c r="I6" s="24">
        <f>CHOOSE(I5,31,28,31,30,31,30,31,31,30,31,30,31)*Inputs!$F$9/365</f>
        <v/>
      </c>
      <c r="J6" s="24">
        <f>CHOOSE(J5,31,28,31,30,31,30,31,31,30,31,30,31)*Inputs!$F$9/365</f>
        <v/>
      </c>
      <c r="K6" s="24">
        <f>CHOOSE(K5,31,28,31,30,31,30,31,31,30,31,30,31)*Inputs!$F$9/365</f>
        <v/>
      </c>
      <c r="L6" s="24">
        <f>CHOOSE(L5,31,28,31,30,31,30,31,31,30,31,30,31)*Inputs!$F$9/365</f>
        <v/>
      </c>
      <c r="M6" s="24">
        <f>CHOOSE(M5,31,28,31,30,31,30,31,31,30,31,30,31)*Inputs!$F$9/365</f>
        <v/>
      </c>
      <c r="N6" s="24">
        <f>CHOOSE(N5,31,28,31,30,31,30,31,31,30,31,30,31)*Inputs!$F$9/365</f>
        <v/>
      </c>
      <c r="O6" s="24">
        <f>CHOOSE(O5,31,28,31,30,31,30,31,31,30,31,30,31)*Inputs!$F$9/365</f>
        <v/>
      </c>
      <c r="P6" s="24">
        <f>CHOOSE(P5,31,28,31,30,31,30,31,31,30,31,30,31)*Inputs!$F$9/365</f>
        <v/>
      </c>
      <c r="Q6" s="24">
        <f>CHOOSE(Q5,31,28,31,30,31,30,31,31,30,31,30,31)*Inputs!$F$9/365</f>
        <v/>
      </c>
      <c r="R6" s="24">
        <f>CHOOSE(R5,31,28,31,30,31,30,31,31,30,31,30,31)*Inputs!$F$9/365</f>
        <v/>
      </c>
      <c r="S6" s="24">
        <f>CHOOSE(S5,31,28,31,30,31,30,31,31,30,31,30,31)*Inputs!$F$9/365</f>
        <v/>
      </c>
      <c r="T6" s="24">
        <f>CHOOSE(T5,31,28,31,30,31,30,31,31,30,31,30,31)*Inputs!$F$9/365</f>
        <v/>
      </c>
      <c r="U6" s="24">
        <f>CHOOSE(U5,31,28,31,30,31,30,31,31,30,31,30,31)*Inputs!$F$9/365</f>
        <v/>
      </c>
      <c r="V6" s="24">
        <f>CHOOSE(V5,31,28,31,30,31,30,31,31,30,31,30,31)*Inputs!$F$9/365</f>
        <v/>
      </c>
      <c r="W6" s="24">
        <f>CHOOSE(W5,31,28,31,30,31,30,31,31,30,31,30,31)*Inputs!$F$9/365</f>
        <v/>
      </c>
      <c r="X6" s="24">
        <f>CHOOSE(X5,31,28,31,30,31,30,31,31,30,31,30,31)*Inputs!$F$9/365</f>
        <v/>
      </c>
      <c r="Y6" s="24">
        <f>CHOOSE(Y5,31,28,31,30,31,30,31,31,30,31,30,31)*Inputs!$F$9/365</f>
        <v/>
      </c>
      <c r="Z6" s="24">
        <f>CHOOSE(Z5,31,28,31,30,31,30,31,31,30,31,30,31)*Inputs!$F$9/365</f>
        <v/>
      </c>
      <c r="AA6" s="24">
        <f>CHOOSE(AA5,31,28,31,30,31,30,31,31,30,31,30,31)*Inputs!$F$9/365</f>
        <v/>
      </c>
      <c r="AB6" s="24">
        <f>CHOOSE(AB5,31,28,31,30,31,30,31,31,30,31,30,31)*Inputs!$F$9/365</f>
        <v/>
      </c>
      <c r="AC6" s="24">
        <f>CHOOSE(AC5,31,28,31,30,31,30,31,31,30,31,30,31)*Inputs!$F$9/365</f>
        <v/>
      </c>
      <c r="AD6" s="24">
        <f>CHOOSE(AD5,31,28,31,30,31,30,31,31,30,31,30,31)*Inputs!$F$9/365</f>
        <v/>
      </c>
      <c r="AE6" s="24">
        <f>CHOOSE(AE5,31,28,31,30,31,30,31,31,30,31,30,31)*Inputs!$F$9/365</f>
        <v/>
      </c>
      <c r="AF6" s="24">
        <f>CHOOSE(AF5,31,28,31,30,31,30,31,31,30,31,30,31)*Inputs!$F$9/365</f>
        <v/>
      </c>
      <c r="AG6" s="24">
        <f>CHOOSE(AG5,31,28,31,30,31,30,31,31,30,31,30,31)*Inputs!$F$9/365</f>
        <v/>
      </c>
      <c r="AH6" s="24">
        <f>CHOOSE(AH5,31,28,31,30,31,30,31,31,30,31,30,31)*Inputs!$F$9/365</f>
        <v/>
      </c>
      <c r="AI6" s="24">
        <f>CHOOSE(AI5,31,28,31,30,31,30,31,31,30,31,30,31)*Inputs!$F$9/365</f>
        <v/>
      </c>
      <c r="AJ6" s="24">
        <f>CHOOSE(AJ5,31,28,31,30,31,30,31,31,30,31,30,31)*Inputs!$F$9/365</f>
        <v/>
      </c>
      <c r="AK6" s="24">
        <f>CHOOSE(AK5,31,28,31,30,31,30,31,31,30,31,30,31)*Inputs!$F$9/365</f>
        <v/>
      </c>
      <c r="AL6" s="24">
        <f>CHOOSE(AL5,31,28,31,30,31,30,31,31,30,31,30,31)*Inputs!$F$9/365</f>
        <v/>
      </c>
      <c r="AM6" s="24">
        <f>CHOOSE(AM5,31,28,31,30,31,30,31,31,30,31,30,31)*Inputs!$F$9/365</f>
        <v/>
      </c>
      <c r="AN6" s="24">
        <f>CHOOSE(AN5,31,28,31,30,31,30,31,31,30,31,30,31)*Inputs!$F$9/365</f>
        <v/>
      </c>
      <c r="AO6" s="24">
        <f>CHOOSE(AO5,31,28,31,30,31,30,31,31,30,31,30,31)*Inputs!$F$9/365</f>
        <v/>
      </c>
      <c r="AP6" s="24">
        <f>CHOOSE(AP5,31,28,31,30,31,30,31,31,30,31,30,31)*Inputs!$F$9/365</f>
        <v/>
      </c>
      <c r="AQ6" s="24">
        <f>CHOOSE(AQ5,31,28,31,30,31,30,31,31,30,31,30,31)*Inputs!$F$9/365</f>
        <v/>
      </c>
      <c r="AR6" s="24">
        <f>CHOOSE(AR5,31,28,31,30,31,30,31,31,30,31,30,31)*Inputs!$F$9/365</f>
        <v/>
      </c>
      <c r="AS6" s="24">
        <f>CHOOSE(AS5,31,28,31,30,31,30,31,31,30,31,30,31)*Inputs!$F$9/365</f>
        <v/>
      </c>
      <c r="AT6" s="24">
        <f>CHOOSE(AT5,31,28,31,30,31,30,31,31,30,31,30,31)*Inputs!$F$9/365</f>
        <v/>
      </c>
      <c r="AU6" s="24">
        <f>CHOOSE(AU5,31,28,31,30,31,30,31,31,30,31,30,31)*Inputs!$F$9/365</f>
        <v/>
      </c>
      <c r="AV6" s="24">
        <f>CHOOSE(AV5,31,28,31,30,31,30,31,31,30,31,30,31)*Inputs!$F$9/365</f>
        <v/>
      </c>
      <c r="AW6" s="24">
        <f>CHOOSE(AW5,31,28,31,30,31,30,31,31,30,31,30,31)*Inputs!$F$9/365</f>
        <v/>
      </c>
      <c r="AX6" s="24">
        <f>CHOOSE(AX5,31,28,31,30,31,30,31,31,30,31,30,31)*Inputs!$F$9/365</f>
        <v/>
      </c>
      <c r="AY6" s="24">
        <f>CHOOSE(AY5,31,28,31,30,31,30,31,31,30,31,30,31)*Inputs!$F$9/365</f>
        <v/>
      </c>
      <c r="AZ6" s="24">
        <f>CHOOSE(AZ5,31,28,31,30,31,30,31,31,30,31,30,31)*Inputs!$F$9/365</f>
        <v/>
      </c>
      <c r="BA6" s="24">
        <f>CHOOSE(BA5,31,28,31,30,31,30,31,31,30,31,30,31)*Inputs!$F$9/365</f>
        <v/>
      </c>
      <c r="BB6" s="24">
        <f>CHOOSE(BB5,31,28,31,30,31,30,31,31,30,31,30,31)*Inputs!$F$9/365</f>
        <v/>
      </c>
      <c r="BC6" s="24">
        <f>CHOOSE(BC5,31,28,31,30,31,30,31,31,30,31,30,31)*Inputs!$F$9/365</f>
        <v/>
      </c>
      <c r="BD6" s="24">
        <f>CHOOSE(BD5,31,28,31,30,31,30,31,31,30,31,30,31)*Inputs!$F$9/365</f>
        <v/>
      </c>
      <c r="BE6" s="24">
        <f>CHOOSE(BE5,31,28,31,30,31,30,31,31,30,31,30,31)*Inputs!$F$9/365</f>
        <v/>
      </c>
      <c r="BF6" s="24">
        <f>CHOOSE(BF5,31,28,31,30,31,30,31,31,30,31,30,31)*Inputs!$F$9/365</f>
        <v/>
      </c>
      <c r="BG6" s="24">
        <f>CHOOSE(BG5,31,28,31,30,31,30,31,31,30,31,30,31)*Inputs!$F$9/365</f>
        <v/>
      </c>
      <c r="BH6" s="24">
        <f>CHOOSE(BH5,31,28,31,30,31,30,31,31,30,31,30,31)*Inputs!$F$9/365</f>
        <v/>
      </c>
      <c r="BI6" s="24">
        <f>CHOOSE(BI5,31,28,31,30,31,30,31,31,30,31,30,31)*Inputs!$F$9/365</f>
        <v/>
      </c>
      <c r="BJ6" s="24">
        <f>CHOOSE(BJ5,31,28,31,30,31,30,31,31,30,31,30,31)*Inputs!$F$9/365</f>
        <v/>
      </c>
    </row>
    <row r="7">
      <c r="A7" t="inlineStr">
        <is>
          <t>Seasonality index</t>
        </is>
      </c>
      <c r="C7" s="24">
        <f>INDEX(Inputs!$F$27:$F$38,C5)</f>
        <v/>
      </c>
      <c r="D7" s="24">
        <f>INDEX(Inputs!$F$27:$F$38,D5)</f>
        <v/>
      </c>
      <c r="E7" s="24">
        <f>INDEX(Inputs!$F$27:$F$38,E5)</f>
        <v/>
      </c>
      <c r="F7" s="24">
        <f>INDEX(Inputs!$F$27:$F$38,F5)</f>
        <v/>
      </c>
      <c r="G7" s="24">
        <f>INDEX(Inputs!$F$27:$F$38,G5)</f>
        <v/>
      </c>
      <c r="H7" s="24">
        <f>INDEX(Inputs!$F$27:$F$38,H5)</f>
        <v/>
      </c>
      <c r="I7" s="24">
        <f>INDEX(Inputs!$F$27:$F$38,I5)</f>
        <v/>
      </c>
      <c r="J7" s="24">
        <f>INDEX(Inputs!$F$27:$F$38,J5)</f>
        <v/>
      </c>
      <c r="K7" s="24">
        <f>INDEX(Inputs!$F$27:$F$38,K5)</f>
        <v/>
      </c>
      <c r="L7" s="24">
        <f>INDEX(Inputs!$F$27:$F$38,L5)</f>
        <v/>
      </c>
      <c r="M7" s="24">
        <f>INDEX(Inputs!$F$27:$F$38,M5)</f>
        <v/>
      </c>
      <c r="N7" s="24">
        <f>INDEX(Inputs!$F$27:$F$38,N5)</f>
        <v/>
      </c>
      <c r="O7" s="24">
        <f>INDEX(Inputs!$F$27:$F$38,O5)</f>
        <v/>
      </c>
      <c r="P7" s="24">
        <f>INDEX(Inputs!$F$27:$F$38,P5)</f>
        <v/>
      </c>
      <c r="Q7" s="24">
        <f>INDEX(Inputs!$F$27:$F$38,Q5)</f>
        <v/>
      </c>
      <c r="R7" s="24">
        <f>INDEX(Inputs!$F$27:$F$38,R5)</f>
        <v/>
      </c>
      <c r="S7" s="24">
        <f>INDEX(Inputs!$F$27:$F$38,S5)</f>
        <v/>
      </c>
      <c r="T7" s="24">
        <f>INDEX(Inputs!$F$27:$F$38,T5)</f>
        <v/>
      </c>
      <c r="U7" s="24">
        <f>INDEX(Inputs!$F$27:$F$38,U5)</f>
        <v/>
      </c>
      <c r="V7" s="24">
        <f>INDEX(Inputs!$F$27:$F$38,V5)</f>
        <v/>
      </c>
      <c r="W7" s="24">
        <f>INDEX(Inputs!$F$27:$F$38,W5)</f>
        <v/>
      </c>
      <c r="X7" s="24">
        <f>INDEX(Inputs!$F$27:$F$38,X5)</f>
        <v/>
      </c>
      <c r="Y7" s="24">
        <f>INDEX(Inputs!$F$27:$F$38,Y5)</f>
        <v/>
      </c>
      <c r="Z7" s="24">
        <f>INDEX(Inputs!$F$27:$F$38,Z5)</f>
        <v/>
      </c>
      <c r="AA7" s="24">
        <f>INDEX(Inputs!$F$27:$F$38,AA5)</f>
        <v/>
      </c>
      <c r="AB7" s="24">
        <f>INDEX(Inputs!$F$27:$F$38,AB5)</f>
        <v/>
      </c>
      <c r="AC7" s="24">
        <f>INDEX(Inputs!$F$27:$F$38,AC5)</f>
        <v/>
      </c>
      <c r="AD7" s="24">
        <f>INDEX(Inputs!$F$27:$F$38,AD5)</f>
        <v/>
      </c>
      <c r="AE7" s="24">
        <f>INDEX(Inputs!$F$27:$F$38,AE5)</f>
        <v/>
      </c>
      <c r="AF7" s="24">
        <f>INDEX(Inputs!$F$27:$F$38,AF5)</f>
        <v/>
      </c>
      <c r="AG7" s="24">
        <f>INDEX(Inputs!$F$27:$F$38,AG5)</f>
        <v/>
      </c>
      <c r="AH7" s="24">
        <f>INDEX(Inputs!$F$27:$F$38,AH5)</f>
        <v/>
      </c>
      <c r="AI7" s="24">
        <f>INDEX(Inputs!$F$27:$F$38,AI5)</f>
        <v/>
      </c>
      <c r="AJ7" s="24">
        <f>INDEX(Inputs!$F$27:$F$38,AJ5)</f>
        <v/>
      </c>
      <c r="AK7" s="24">
        <f>INDEX(Inputs!$F$27:$F$38,AK5)</f>
        <v/>
      </c>
      <c r="AL7" s="24">
        <f>INDEX(Inputs!$F$27:$F$38,AL5)</f>
        <v/>
      </c>
      <c r="AM7" s="24">
        <f>INDEX(Inputs!$F$27:$F$38,AM5)</f>
        <v/>
      </c>
      <c r="AN7" s="24">
        <f>INDEX(Inputs!$F$27:$F$38,AN5)</f>
        <v/>
      </c>
      <c r="AO7" s="24">
        <f>INDEX(Inputs!$F$27:$F$38,AO5)</f>
        <v/>
      </c>
      <c r="AP7" s="24">
        <f>INDEX(Inputs!$F$27:$F$38,AP5)</f>
        <v/>
      </c>
      <c r="AQ7" s="24">
        <f>INDEX(Inputs!$F$27:$F$38,AQ5)</f>
        <v/>
      </c>
      <c r="AR7" s="24">
        <f>INDEX(Inputs!$F$27:$F$38,AR5)</f>
        <v/>
      </c>
      <c r="AS7" s="24">
        <f>INDEX(Inputs!$F$27:$F$38,AS5)</f>
        <v/>
      </c>
      <c r="AT7" s="24">
        <f>INDEX(Inputs!$F$27:$F$38,AT5)</f>
        <v/>
      </c>
      <c r="AU7" s="24">
        <f>INDEX(Inputs!$F$27:$F$38,AU5)</f>
        <v/>
      </c>
      <c r="AV7" s="24">
        <f>INDEX(Inputs!$F$27:$F$38,AV5)</f>
        <v/>
      </c>
      <c r="AW7" s="24">
        <f>INDEX(Inputs!$F$27:$F$38,AW5)</f>
        <v/>
      </c>
      <c r="AX7" s="24">
        <f>INDEX(Inputs!$F$27:$F$38,AX5)</f>
        <v/>
      </c>
      <c r="AY7" s="24">
        <f>INDEX(Inputs!$F$27:$F$38,AY5)</f>
        <v/>
      </c>
      <c r="AZ7" s="24">
        <f>INDEX(Inputs!$F$27:$F$38,AZ5)</f>
        <v/>
      </c>
      <c r="BA7" s="24">
        <f>INDEX(Inputs!$F$27:$F$38,BA5)</f>
        <v/>
      </c>
      <c r="BB7" s="24">
        <f>INDEX(Inputs!$F$27:$F$38,BB5)</f>
        <v/>
      </c>
      <c r="BC7" s="24">
        <f>INDEX(Inputs!$F$27:$F$38,BC5)</f>
        <v/>
      </c>
      <c r="BD7" s="24">
        <f>INDEX(Inputs!$F$27:$F$38,BD5)</f>
        <v/>
      </c>
      <c r="BE7" s="24">
        <f>INDEX(Inputs!$F$27:$F$38,BE5)</f>
        <v/>
      </c>
      <c r="BF7" s="24">
        <f>INDEX(Inputs!$F$27:$F$38,BF5)</f>
        <v/>
      </c>
      <c r="BG7" s="24">
        <f>INDEX(Inputs!$F$27:$F$38,BG5)</f>
        <v/>
      </c>
      <c r="BH7" s="24">
        <f>INDEX(Inputs!$F$27:$F$38,BH5)</f>
        <v/>
      </c>
      <c r="BI7" s="24">
        <f>INDEX(Inputs!$F$27:$F$38,BI5)</f>
        <v/>
      </c>
      <c r="BJ7" s="24">
        <f>INDEX(Inputs!$F$27:$F$38,BJ5)</f>
        <v/>
      </c>
    </row>
    <row r="8">
      <c r="A8" t="inlineStr">
        <is>
          <t>Passing traffic (veh/day)</t>
        </is>
      </c>
      <c r="C8" s="3">
        <f>Inputs!$F$17*(1+Inputs!$F$18)^(C4-1)*C7</f>
        <v/>
      </c>
      <c r="D8" s="3">
        <f>Inputs!$F$17*(1+Inputs!$F$18)^(D4-1)*D7</f>
        <v/>
      </c>
      <c r="E8" s="3">
        <f>Inputs!$F$17*(1+Inputs!$F$18)^(E4-1)*E7</f>
        <v/>
      </c>
      <c r="F8" s="3">
        <f>Inputs!$F$17*(1+Inputs!$F$18)^(F4-1)*F7</f>
        <v/>
      </c>
      <c r="G8" s="3">
        <f>Inputs!$F$17*(1+Inputs!$F$18)^(G4-1)*G7</f>
        <v/>
      </c>
      <c r="H8" s="3">
        <f>Inputs!$F$17*(1+Inputs!$F$18)^(H4-1)*H7</f>
        <v/>
      </c>
      <c r="I8" s="3">
        <f>Inputs!$F$17*(1+Inputs!$F$18)^(I4-1)*I7</f>
        <v/>
      </c>
      <c r="J8" s="3">
        <f>Inputs!$F$17*(1+Inputs!$F$18)^(J4-1)*J7</f>
        <v/>
      </c>
      <c r="K8" s="3">
        <f>Inputs!$F$17*(1+Inputs!$F$18)^(K4-1)*K7</f>
        <v/>
      </c>
      <c r="L8" s="3">
        <f>Inputs!$F$17*(1+Inputs!$F$18)^(L4-1)*L7</f>
        <v/>
      </c>
      <c r="M8" s="3">
        <f>Inputs!$F$17*(1+Inputs!$F$18)^(M4-1)*M7</f>
        <v/>
      </c>
      <c r="N8" s="3">
        <f>Inputs!$F$17*(1+Inputs!$F$18)^(N4-1)*N7</f>
        <v/>
      </c>
      <c r="O8" s="3">
        <f>Inputs!$F$17*(1+Inputs!$F$18)^(O4-1)*O7</f>
        <v/>
      </c>
      <c r="P8" s="3">
        <f>Inputs!$F$17*(1+Inputs!$F$18)^(P4-1)*P7</f>
        <v/>
      </c>
      <c r="Q8" s="3">
        <f>Inputs!$F$17*(1+Inputs!$F$18)^(Q4-1)*Q7</f>
        <v/>
      </c>
      <c r="R8" s="3">
        <f>Inputs!$F$17*(1+Inputs!$F$18)^(R4-1)*R7</f>
        <v/>
      </c>
      <c r="S8" s="3">
        <f>Inputs!$F$17*(1+Inputs!$F$18)^(S4-1)*S7</f>
        <v/>
      </c>
      <c r="T8" s="3">
        <f>Inputs!$F$17*(1+Inputs!$F$18)^(T4-1)*T7</f>
        <v/>
      </c>
      <c r="U8" s="3">
        <f>Inputs!$F$17*(1+Inputs!$F$18)^(U4-1)*U7</f>
        <v/>
      </c>
      <c r="V8" s="3">
        <f>Inputs!$F$17*(1+Inputs!$F$18)^(V4-1)*V7</f>
        <v/>
      </c>
      <c r="W8" s="3">
        <f>Inputs!$F$17*(1+Inputs!$F$18)^(W4-1)*W7</f>
        <v/>
      </c>
      <c r="X8" s="3">
        <f>Inputs!$F$17*(1+Inputs!$F$18)^(X4-1)*X7</f>
        <v/>
      </c>
      <c r="Y8" s="3">
        <f>Inputs!$F$17*(1+Inputs!$F$18)^(Y4-1)*Y7</f>
        <v/>
      </c>
      <c r="Z8" s="3">
        <f>Inputs!$F$17*(1+Inputs!$F$18)^(Z4-1)*Z7</f>
        <v/>
      </c>
      <c r="AA8" s="3">
        <f>Inputs!$F$17*(1+Inputs!$F$18)^(AA4-1)*AA7</f>
        <v/>
      </c>
      <c r="AB8" s="3">
        <f>Inputs!$F$17*(1+Inputs!$F$18)^(AB4-1)*AB7</f>
        <v/>
      </c>
      <c r="AC8" s="3">
        <f>Inputs!$F$17*(1+Inputs!$F$18)^(AC4-1)*AC7</f>
        <v/>
      </c>
      <c r="AD8" s="3">
        <f>Inputs!$F$17*(1+Inputs!$F$18)^(AD4-1)*AD7</f>
        <v/>
      </c>
      <c r="AE8" s="3">
        <f>Inputs!$F$17*(1+Inputs!$F$18)^(AE4-1)*AE7</f>
        <v/>
      </c>
      <c r="AF8" s="3">
        <f>Inputs!$F$17*(1+Inputs!$F$18)^(AF4-1)*AF7</f>
        <v/>
      </c>
      <c r="AG8" s="3">
        <f>Inputs!$F$17*(1+Inputs!$F$18)^(AG4-1)*AG7</f>
        <v/>
      </c>
      <c r="AH8" s="3">
        <f>Inputs!$F$17*(1+Inputs!$F$18)^(AH4-1)*AH7</f>
        <v/>
      </c>
      <c r="AI8" s="3">
        <f>Inputs!$F$17*(1+Inputs!$F$18)^(AI4-1)*AI7</f>
        <v/>
      </c>
      <c r="AJ8" s="3">
        <f>Inputs!$F$17*(1+Inputs!$F$18)^(AJ4-1)*AJ7</f>
        <v/>
      </c>
      <c r="AK8" s="3">
        <f>Inputs!$F$17*(1+Inputs!$F$18)^(AK4-1)*AK7</f>
        <v/>
      </c>
      <c r="AL8" s="3">
        <f>Inputs!$F$17*(1+Inputs!$F$18)^(AL4-1)*AL7</f>
        <v/>
      </c>
      <c r="AM8" s="3">
        <f>Inputs!$F$17*(1+Inputs!$F$18)^(AM4-1)*AM7</f>
        <v/>
      </c>
      <c r="AN8" s="3">
        <f>Inputs!$F$17*(1+Inputs!$F$18)^(AN4-1)*AN7</f>
        <v/>
      </c>
      <c r="AO8" s="3">
        <f>Inputs!$F$17*(1+Inputs!$F$18)^(AO4-1)*AO7</f>
        <v/>
      </c>
      <c r="AP8" s="3">
        <f>Inputs!$F$17*(1+Inputs!$F$18)^(AP4-1)*AP7</f>
        <v/>
      </c>
      <c r="AQ8" s="3">
        <f>Inputs!$F$17*(1+Inputs!$F$18)^(AQ4-1)*AQ7</f>
        <v/>
      </c>
      <c r="AR8" s="3">
        <f>Inputs!$F$17*(1+Inputs!$F$18)^(AR4-1)*AR7</f>
        <v/>
      </c>
      <c r="AS8" s="3">
        <f>Inputs!$F$17*(1+Inputs!$F$18)^(AS4-1)*AS7</f>
        <v/>
      </c>
      <c r="AT8" s="3">
        <f>Inputs!$F$17*(1+Inputs!$F$18)^(AT4-1)*AT7</f>
        <v/>
      </c>
      <c r="AU8" s="3">
        <f>Inputs!$F$17*(1+Inputs!$F$18)^(AU4-1)*AU7</f>
        <v/>
      </c>
      <c r="AV8" s="3">
        <f>Inputs!$F$17*(1+Inputs!$F$18)^(AV4-1)*AV7</f>
        <v/>
      </c>
      <c r="AW8" s="3">
        <f>Inputs!$F$17*(1+Inputs!$F$18)^(AW4-1)*AW7</f>
        <v/>
      </c>
      <c r="AX8" s="3">
        <f>Inputs!$F$17*(1+Inputs!$F$18)^(AX4-1)*AX7</f>
        <v/>
      </c>
      <c r="AY8" s="3">
        <f>Inputs!$F$17*(1+Inputs!$F$18)^(AY4-1)*AY7</f>
        <v/>
      </c>
      <c r="AZ8" s="3">
        <f>Inputs!$F$17*(1+Inputs!$F$18)^(AZ4-1)*AZ7</f>
        <v/>
      </c>
      <c r="BA8" s="3">
        <f>Inputs!$F$17*(1+Inputs!$F$18)^(BA4-1)*BA7</f>
        <v/>
      </c>
      <c r="BB8" s="3">
        <f>Inputs!$F$17*(1+Inputs!$F$18)^(BB4-1)*BB7</f>
        <v/>
      </c>
      <c r="BC8" s="3">
        <f>Inputs!$F$17*(1+Inputs!$F$18)^(BC4-1)*BC7</f>
        <v/>
      </c>
      <c r="BD8" s="3">
        <f>Inputs!$F$17*(1+Inputs!$F$18)^(BD4-1)*BD7</f>
        <v/>
      </c>
      <c r="BE8" s="3">
        <f>Inputs!$F$17*(1+Inputs!$F$18)^(BE4-1)*BE7</f>
        <v/>
      </c>
      <c r="BF8" s="3">
        <f>Inputs!$F$17*(1+Inputs!$F$18)^(BF4-1)*BF7</f>
        <v/>
      </c>
      <c r="BG8" s="3">
        <f>Inputs!$F$17*(1+Inputs!$F$18)^(BG4-1)*BG7</f>
        <v/>
      </c>
      <c r="BH8" s="3">
        <f>Inputs!$F$17*(1+Inputs!$F$18)^(BH4-1)*BH7</f>
        <v/>
      </c>
      <c r="BI8" s="3">
        <f>Inputs!$F$17*(1+Inputs!$F$18)^(BI4-1)*BI7</f>
        <v/>
      </c>
      <c r="BJ8" s="3">
        <f>Inputs!$F$17*(1+Inputs!$F$18)^(BJ4-1)*BJ7</f>
        <v/>
      </c>
    </row>
    <row r="9">
      <c r="A9" t="inlineStr">
        <is>
          <t>Ramp multiplier</t>
        </is>
      </c>
      <c r="C9" s="24">
        <f>IF(C3&lt;=12,INDEX(Inputs!$F$41:$F$52,C3),1)</f>
        <v/>
      </c>
      <c r="D9" s="24">
        <f>IF(D3&lt;=12,INDEX(Inputs!$F$41:$F$52,D3),1)</f>
        <v/>
      </c>
      <c r="E9" s="24">
        <f>IF(E3&lt;=12,INDEX(Inputs!$F$41:$F$52,E3),1)</f>
        <v/>
      </c>
      <c r="F9" s="24">
        <f>IF(F3&lt;=12,INDEX(Inputs!$F$41:$F$52,F3),1)</f>
        <v/>
      </c>
      <c r="G9" s="24">
        <f>IF(G3&lt;=12,INDEX(Inputs!$F$41:$F$52,G3),1)</f>
        <v/>
      </c>
      <c r="H9" s="24">
        <f>IF(H3&lt;=12,INDEX(Inputs!$F$41:$F$52,H3),1)</f>
        <v/>
      </c>
      <c r="I9" s="24">
        <f>IF(I3&lt;=12,INDEX(Inputs!$F$41:$F$52,I3),1)</f>
        <v/>
      </c>
      <c r="J9" s="24">
        <f>IF(J3&lt;=12,INDEX(Inputs!$F$41:$F$52,J3),1)</f>
        <v/>
      </c>
      <c r="K9" s="24">
        <f>IF(K3&lt;=12,INDEX(Inputs!$F$41:$F$52,K3),1)</f>
        <v/>
      </c>
      <c r="L9" s="24">
        <f>IF(L3&lt;=12,INDEX(Inputs!$F$41:$F$52,L3),1)</f>
        <v/>
      </c>
      <c r="M9" s="24">
        <f>IF(M3&lt;=12,INDEX(Inputs!$F$41:$F$52,M3),1)</f>
        <v/>
      </c>
      <c r="N9" s="24">
        <f>IF(N3&lt;=12,INDEX(Inputs!$F$41:$F$52,N3),1)</f>
        <v/>
      </c>
      <c r="O9" s="24">
        <f>IF(O3&lt;=12,INDEX(Inputs!$F$41:$F$52,O3),1)</f>
        <v/>
      </c>
      <c r="P9" s="24">
        <f>IF(P3&lt;=12,INDEX(Inputs!$F$41:$F$52,P3),1)</f>
        <v/>
      </c>
      <c r="Q9" s="24">
        <f>IF(Q3&lt;=12,INDEX(Inputs!$F$41:$F$52,Q3),1)</f>
        <v/>
      </c>
      <c r="R9" s="24">
        <f>IF(R3&lt;=12,INDEX(Inputs!$F$41:$F$52,R3),1)</f>
        <v/>
      </c>
      <c r="S9" s="24">
        <f>IF(S3&lt;=12,INDEX(Inputs!$F$41:$F$52,S3),1)</f>
        <v/>
      </c>
      <c r="T9" s="24">
        <f>IF(T3&lt;=12,INDEX(Inputs!$F$41:$F$52,T3),1)</f>
        <v/>
      </c>
      <c r="U9" s="24">
        <f>IF(U3&lt;=12,INDEX(Inputs!$F$41:$F$52,U3),1)</f>
        <v/>
      </c>
      <c r="V9" s="24">
        <f>IF(V3&lt;=12,INDEX(Inputs!$F$41:$F$52,V3),1)</f>
        <v/>
      </c>
      <c r="W9" s="24">
        <f>IF(W3&lt;=12,INDEX(Inputs!$F$41:$F$52,W3),1)</f>
        <v/>
      </c>
      <c r="X9" s="24">
        <f>IF(X3&lt;=12,INDEX(Inputs!$F$41:$F$52,X3),1)</f>
        <v/>
      </c>
      <c r="Y9" s="24">
        <f>IF(Y3&lt;=12,INDEX(Inputs!$F$41:$F$52,Y3),1)</f>
        <v/>
      </c>
      <c r="Z9" s="24">
        <f>IF(Z3&lt;=12,INDEX(Inputs!$F$41:$F$52,Z3),1)</f>
        <v/>
      </c>
      <c r="AA9" s="24">
        <f>IF(AA3&lt;=12,INDEX(Inputs!$F$41:$F$52,AA3),1)</f>
        <v/>
      </c>
      <c r="AB9" s="24">
        <f>IF(AB3&lt;=12,INDEX(Inputs!$F$41:$F$52,AB3),1)</f>
        <v/>
      </c>
      <c r="AC9" s="24">
        <f>IF(AC3&lt;=12,INDEX(Inputs!$F$41:$F$52,AC3),1)</f>
        <v/>
      </c>
      <c r="AD9" s="24">
        <f>IF(AD3&lt;=12,INDEX(Inputs!$F$41:$F$52,AD3),1)</f>
        <v/>
      </c>
      <c r="AE9" s="24">
        <f>IF(AE3&lt;=12,INDEX(Inputs!$F$41:$F$52,AE3),1)</f>
        <v/>
      </c>
      <c r="AF9" s="24">
        <f>IF(AF3&lt;=12,INDEX(Inputs!$F$41:$F$52,AF3),1)</f>
        <v/>
      </c>
      <c r="AG9" s="24">
        <f>IF(AG3&lt;=12,INDEX(Inputs!$F$41:$F$52,AG3),1)</f>
        <v/>
      </c>
      <c r="AH9" s="24">
        <f>IF(AH3&lt;=12,INDEX(Inputs!$F$41:$F$52,AH3),1)</f>
        <v/>
      </c>
      <c r="AI9" s="24">
        <f>IF(AI3&lt;=12,INDEX(Inputs!$F$41:$F$52,AI3),1)</f>
        <v/>
      </c>
      <c r="AJ9" s="24">
        <f>IF(AJ3&lt;=12,INDEX(Inputs!$F$41:$F$52,AJ3),1)</f>
        <v/>
      </c>
      <c r="AK9" s="24">
        <f>IF(AK3&lt;=12,INDEX(Inputs!$F$41:$F$52,AK3),1)</f>
        <v/>
      </c>
      <c r="AL9" s="24">
        <f>IF(AL3&lt;=12,INDEX(Inputs!$F$41:$F$52,AL3),1)</f>
        <v/>
      </c>
      <c r="AM9" s="24">
        <f>IF(AM3&lt;=12,INDEX(Inputs!$F$41:$F$52,AM3),1)</f>
        <v/>
      </c>
      <c r="AN9" s="24">
        <f>IF(AN3&lt;=12,INDEX(Inputs!$F$41:$F$52,AN3),1)</f>
        <v/>
      </c>
      <c r="AO9" s="24">
        <f>IF(AO3&lt;=12,INDEX(Inputs!$F$41:$F$52,AO3),1)</f>
        <v/>
      </c>
      <c r="AP9" s="24">
        <f>IF(AP3&lt;=12,INDEX(Inputs!$F$41:$F$52,AP3),1)</f>
        <v/>
      </c>
      <c r="AQ9" s="24">
        <f>IF(AQ3&lt;=12,INDEX(Inputs!$F$41:$F$52,AQ3),1)</f>
        <v/>
      </c>
      <c r="AR9" s="24">
        <f>IF(AR3&lt;=12,INDEX(Inputs!$F$41:$F$52,AR3),1)</f>
        <v/>
      </c>
      <c r="AS9" s="24">
        <f>IF(AS3&lt;=12,INDEX(Inputs!$F$41:$F$52,AS3),1)</f>
        <v/>
      </c>
      <c r="AT9" s="24">
        <f>IF(AT3&lt;=12,INDEX(Inputs!$F$41:$F$52,AT3),1)</f>
        <v/>
      </c>
      <c r="AU9" s="24">
        <f>IF(AU3&lt;=12,INDEX(Inputs!$F$41:$F$52,AU3),1)</f>
        <v/>
      </c>
      <c r="AV9" s="24">
        <f>IF(AV3&lt;=12,INDEX(Inputs!$F$41:$F$52,AV3),1)</f>
        <v/>
      </c>
      <c r="AW9" s="24">
        <f>IF(AW3&lt;=12,INDEX(Inputs!$F$41:$F$52,AW3),1)</f>
        <v/>
      </c>
      <c r="AX9" s="24">
        <f>IF(AX3&lt;=12,INDEX(Inputs!$F$41:$F$52,AX3),1)</f>
        <v/>
      </c>
      <c r="AY9" s="24">
        <f>IF(AY3&lt;=12,INDEX(Inputs!$F$41:$F$52,AY3),1)</f>
        <v/>
      </c>
      <c r="AZ9" s="24">
        <f>IF(AZ3&lt;=12,INDEX(Inputs!$F$41:$F$52,AZ3),1)</f>
        <v/>
      </c>
      <c r="BA9" s="24">
        <f>IF(BA3&lt;=12,INDEX(Inputs!$F$41:$F$52,BA3),1)</f>
        <v/>
      </c>
      <c r="BB9" s="24">
        <f>IF(BB3&lt;=12,INDEX(Inputs!$F$41:$F$52,BB3),1)</f>
        <v/>
      </c>
      <c r="BC9" s="24">
        <f>IF(BC3&lt;=12,INDEX(Inputs!$F$41:$F$52,BC3),1)</f>
        <v/>
      </c>
      <c r="BD9" s="24">
        <f>IF(BD3&lt;=12,INDEX(Inputs!$F$41:$F$52,BD3),1)</f>
        <v/>
      </c>
      <c r="BE9" s="24">
        <f>IF(BE3&lt;=12,INDEX(Inputs!$F$41:$F$52,BE3),1)</f>
        <v/>
      </c>
      <c r="BF9" s="24">
        <f>IF(BF3&lt;=12,INDEX(Inputs!$F$41:$F$52,BF3),1)</f>
        <v/>
      </c>
      <c r="BG9" s="24">
        <f>IF(BG3&lt;=12,INDEX(Inputs!$F$41:$F$52,BG3),1)</f>
        <v/>
      </c>
      <c r="BH9" s="24">
        <f>IF(BH3&lt;=12,INDEX(Inputs!$F$41:$F$52,BH3),1)</f>
        <v/>
      </c>
      <c r="BI9" s="24">
        <f>IF(BI3&lt;=12,INDEX(Inputs!$F$41:$F$52,BI3),1)</f>
        <v/>
      </c>
      <c r="BJ9" s="24">
        <f>IF(BJ3&lt;=12,INDEX(Inputs!$F$41:$F$52,BJ3),1)</f>
        <v/>
      </c>
    </row>
    <row r="10">
      <c r="A10" t="inlineStr">
        <is>
          <t>Capture rate</t>
        </is>
      </c>
      <c r="C10" s="25">
        <f>Inputs!$F$20*(1+Inputs!$F$21)^(C4-1)*C9</f>
        <v/>
      </c>
      <c r="D10" s="25">
        <f>Inputs!$F$20*(1+Inputs!$F$21)^(D4-1)*D9</f>
        <v/>
      </c>
      <c r="E10" s="25">
        <f>Inputs!$F$20*(1+Inputs!$F$21)^(E4-1)*E9</f>
        <v/>
      </c>
      <c r="F10" s="25">
        <f>Inputs!$F$20*(1+Inputs!$F$21)^(F4-1)*F9</f>
        <v/>
      </c>
      <c r="G10" s="25">
        <f>Inputs!$F$20*(1+Inputs!$F$21)^(G4-1)*G9</f>
        <v/>
      </c>
      <c r="H10" s="25">
        <f>Inputs!$F$20*(1+Inputs!$F$21)^(H4-1)*H9</f>
        <v/>
      </c>
      <c r="I10" s="25">
        <f>Inputs!$F$20*(1+Inputs!$F$21)^(I4-1)*I9</f>
        <v/>
      </c>
      <c r="J10" s="25">
        <f>Inputs!$F$20*(1+Inputs!$F$21)^(J4-1)*J9</f>
        <v/>
      </c>
      <c r="K10" s="25">
        <f>Inputs!$F$20*(1+Inputs!$F$21)^(K4-1)*K9</f>
        <v/>
      </c>
      <c r="L10" s="25">
        <f>Inputs!$F$20*(1+Inputs!$F$21)^(L4-1)*L9</f>
        <v/>
      </c>
      <c r="M10" s="25">
        <f>Inputs!$F$20*(1+Inputs!$F$21)^(M4-1)*M9</f>
        <v/>
      </c>
      <c r="N10" s="25">
        <f>Inputs!$F$20*(1+Inputs!$F$21)^(N4-1)*N9</f>
        <v/>
      </c>
      <c r="O10" s="25">
        <f>Inputs!$F$20*(1+Inputs!$F$21)^(O4-1)*O9</f>
        <v/>
      </c>
      <c r="P10" s="25">
        <f>Inputs!$F$20*(1+Inputs!$F$21)^(P4-1)*P9</f>
        <v/>
      </c>
      <c r="Q10" s="25">
        <f>Inputs!$F$20*(1+Inputs!$F$21)^(Q4-1)*Q9</f>
        <v/>
      </c>
      <c r="R10" s="25">
        <f>Inputs!$F$20*(1+Inputs!$F$21)^(R4-1)*R9</f>
        <v/>
      </c>
      <c r="S10" s="25">
        <f>Inputs!$F$20*(1+Inputs!$F$21)^(S4-1)*S9</f>
        <v/>
      </c>
      <c r="T10" s="25">
        <f>Inputs!$F$20*(1+Inputs!$F$21)^(T4-1)*T9</f>
        <v/>
      </c>
      <c r="U10" s="25">
        <f>Inputs!$F$20*(1+Inputs!$F$21)^(U4-1)*U9</f>
        <v/>
      </c>
      <c r="V10" s="25">
        <f>Inputs!$F$20*(1+Inputs!$F$21)^(V4-1)*V9</f>
        <v/>
      </c>
      <c r="W10" s="25">
        <f>Inputs!$F$20*(1+Inputs!$F$21)^(W4-1)*W9</f>
        <v/>
      </c>
      <c r="X10" s="25">
        <f>Inputs!$F$20*(1+Inputs!$F$21)^(X4-1)*X9</f>
        <v/>
      </c>
      <c r="Y10" s="25">
        <f>Inputs!$F$20*(1+Inputs!$F$21)^(Y4-1)*Y9</f>
        <v/>
      </c>
      <c r="Z10" s="25">
        <f>Inputs!$F$20*(1+Inputs!$F$21)^(Z4-1)*Z9</f>
        <v/>
      </c>
      <c r="AA10" s="25">
        <f>Inputs!$F$20*(1+Inputs!$F$21)^(AA4-1)*AA9</f>
        <v/>
      </c>
      <c r="AB10" s="25">
        <f>Inputs!$F$20*(1+Inputs!$F$21)^(AB4-1)*AB9</f>
        <v/>
      </c>
      <c r="AC10" s="25">
        <f>Inputs!$F$20*(1+Inputs!$F$21)^(AC4-1)*AC9</f>
        <v/>
      </c>
      <c r="AD10" s="25">
        <f>Inputs!$F$20*(1+Inputs!$F$21)^(AD4-1)*AD9</f>
        <v/>
      </c>
      <c r="AE10" s="25">
        <f>Inputs!$F$20*(1+Inputs!$F$21)^(AE4-1)*AE9</f>
        <v/>
      </c>
      <c r="AF10" s="25">
        <f>Inputs!$F$20*(1+Inputs!$F$21)^(AF4-1)*AF9</f>
        <v/>
      </c>
      <c r="AG10" s="25">
        <f>Inputs!$F$20*(1+Inputs!$F$21)^(AG4-1)*AG9</f>
        <v/>
      </c>
      <c r="AH10" s="25">
        <f>Inputs!$F$20*(1+Inputs!$F$21)^(AH4-1)*AH9</f>
        <v/>
      </c>
      <c r="AI10" s="25">
        <f>Inputs!$F$20*(1+Inputs!$F$21)^(AI4-1)*AI9</f>
        <v/>
      </c>
      <c r="AJ10" s="25">
        <f>Inputs!$F$20*(1+Inputs!$F$21)^(AJ4-1)*AJ9</f>
        <v/>
      </c>
      <c r="AK10" s="25">
        <f>Inputs!$F$20*(1+Inputs!$F$21)^(AK4-1)*AK9</f>
        <v/>
      </c>
      <c r="AL10" s="25">
        <f>Inputs!$F$20*(1+Inputs!$F$21)^(AL4-1)*AL9</f>
        <v/>
      </c>
      <c r="AM10" s="25">
        <f>Inputs!$F$20*(1+Inputs!$F$21)^(AM4-1)*AM9</f>
        <v/>
      </c>
      <c r="AN10" s="25">
        <f>Inputs!$F$20*(1+Inputs!$F$21)^(AN4-1)*AN9</f>
        <v/>
      </c>
      <c r="AO10" s="25">
        <f>Inputs!$F$20*(1+Inputs!$F$21)^(AO4-1)*AO9</f>
        <v/>
      </c>
      <c r="AP10" s="25">
        <f>Inputs!$F$20*(1+Inputs!$F$21)^(AP4-1)*AP9</f>
        <v/>
      </c>
      <c r="AQ10" s="25">
        <f>Inputs!$F$20*(1+Inputs!$F$21)^(AQ4-1)*AQ9</f>
        <v/>
      </c>
      <c r="AR10" s="25">
        <f>Inputs!$F$20*(1+Inputs!$F$21)^(AR4-1)*AR9</f>
        <v/>
      </c>
      <c r="AS10" s="25">
        <f>Inputs!$F$20*(1+Inputs!$F$21)^(AS4-1)*AS9</f>
        <v/>
      </c>
      <c r="AT10" s="25">
        <f>Inputs!$F$20*(1+Inputs!$F$21)^(AT4-1)*AT9</f>
        <v/>
      </c>
      <c r="AU10" s="25">
        <f>Inputs!$F$20*(1+Inputs!$F$21)^(AU4-1)*AU9</f>
        <v/>
      </c>
      <c r="AV10" s="25">
        <f>Inputs!$F$20*(1+Inputs!$F$21)^(AV4-1)*AV9</f>
        <v/>
      </c>
      <c r="AW10" s="25">
        <f>Inputs!$F$20*(1+Inputs!$F$21)^(AW4-1)*AW9</f>
        <v/>
      </c>
      <c r="AX10" s="25">
        <f>Inputs!$F$20*(1+Inputs!$F$21)^(AX4-1)*AX9</f>
        <v/>
      </c>
      <c r="AY10" s="25">
        <f>Inputs!$F$20*(1+Inputs!$F$21)^(AY4-1)*AY9</f>
        <v/>
      </c>
      <c r="AZ10" s="25">
        <f>Inputs!$F$20*(1+Inputs!$F$21)^(AZ4-1)*AZ9</f>
        <v/>
      </c>
      <c r="BA10" s="25">
        <f>Inputs!$F$20*(1+Inputs!$F$21)^(BA4-1)*BA9</f>
        <v/>
      </c>
      <c r="BB10" s="25">
        <f>Inputs!$F$20*(1+Inputs!$F$21)^(BB4-1)*BB9</f>
        <v/>
      </c>
      <c r="BC10" s="25">
        <f>Inputs!$F$20*(1+Inputs!$F$21)^(BC4-1)*BC9</f>
        <v/>
      </c>
      <c r="BD10" s="25">
        <f>Inputs!$F$20*(1+Inputs!$F$21)^(BD4-1)*BD9</f>
        <v/>
      </c>
      <c r="BE10" s="25">
        <f>Inputs!$F$20*(1+Inputs!$F$21)^(BE4-1)*BE9</f>
        <v/>
      </c>
      <c r="BF10" s="25">
        <f>Inputs!$F$20*(1+Inputs!$F$21)^(BF4-1)*BF9</f>
        <v/>
      </c>
      <c r="BG10" s="25">
        <f>Inputs!$F$20*(1+Inputs!$F$21)^(BG4-1)*BG9</f>
        <v/>
      </c>
      <c r="BH10" s="25">
        <f>Inputs!$F$20*(1+Inputs!$F$21)^(BH4-1)*BH9</f>
        <v/>
      </c>
      <c r="BI10" s="25">
        <f>Inputs!$F$20*(1+Inputs!$F$21)^(BI4-1)*BI9</f>
        <v/>
      </c>
      <c r="BJ10" s="25">
        <f>Inputs!$F$20*(1+Inputs!$F$21)^(BJ4-1)*BJ9</f>
        <v/>
      </c>
    </row>
    <row r="11">
      <c r="A11" t="inlineStr">
        <is>
          <t>Transactions / day</t>
        </is>
      </c>
      <c r="C11" s="24">
        <f>C8*Inputs!$F$19*C10+Inputs!$F$23*C9</f>
        <v/>
      </c>
      <c r="D11" s="24">
        <f>D8*Inputs!$F$19*D10+Inputs!$F$23*D9</f>
        <v/>
      </c>
      <c r="E11" s="24">
        <f>E8*Inputs!$F$19*E10+Inputs!$F$23*E9</f>
        <v/>
      </c>
      <c r="F11" s="24">
        <f>F8*Inputs!$F$19*F10+Inputs!$F$23*F9</f>
        <v/>
      </c>
      <c r="G11" s="24">
        <f>G8*Inputs!$F$19*G10+Inputs!$F$23*G9</f>
        <v/>
      </c>
      <c r="H11" s="24">
        <f>H8*Inputs!$F$19*H10+Inputs!$F$23*H9</f>
        <v/>
      </c>
      <c r="I11" s="24">
        <f>I8*Inputs!$F$19*I10+Inputs!$F$23*I9</f>
        <v/>
      </c>
      <c r="J11" s="24">
        <f>J8*Inputs!$F$19*J10+Inputs!$F$23*J9</f>
        <v/>
      </c>
      <c r="K11" s="24">
        <f>K8*Inputs!$F$19*K10+Inputs!$F$23*K9</f>
        <v/>
      </c>
      <c r="L11" s="24">
        <f>L8*Inputs!$F$19*L10+Inputs!$F$23*L9</f>
        <v/>
      </c>
      <c r="M11" s="24">
        <f>M8*Inputs!$F$19*M10+Inputs!$F$23*M9</f>
        <v/>
      </c>
      <c r="N11" s="24">
        <f>N8*Inputs!$F$19*N10+Inputs!$F$23*N9</f>
        <v/>
      </c>
      <c r="O11" s="24">
        <f>O8*Inputs!$F$19*O10+Inputs!$F$23*O9</f>
        <v/>
      </c>
      <c r="P11" s="24">
        <f>P8*Inputs!$F$19*P10+Inputs!$F$23*P9</f>
        <v/>
      </c>
      <c r="Q11" s="24">
        <f>Q8*Inputs!$F$19*Q10+Inputs!$F$23*Q9</f>
        <v/>
      </c>
      <c r="R11" s="24">
        <f>R8*Inputs!$F$19*R10+Inputs!$F$23*R9</f>
        <v/>
      </c>
      <c r="S11" s="24">
        <f>S8*Inputs!$F$19*S10+Inputs!$F$23*S9</f>
        <v/>
      </c>
      <c r="T11" s="24">
        <f>T8*Inputs!$F$19*T10+Inputs!$F$23*T9</f>
        <v/>
      </c>
      <c r="U11" s="24">
        <f>U8*Inputs!$F$19*U10+Inputs!$F$23*U9</f>
        <v/>
      </c>
      <c r="V11" s="24">
        <f>V8*Inputs!$F$19*V10+Inputs!$F$23*V9</f>
        <v/>
      </c>
      <c r="W11" s="24">
        <f>W8*Inputs!$F$19*W10+Inputs!$F$23*W9</f>
        <v/>
      </c>
      <c r="X11" s="24">
        <f>X8*Inputs!$F$19*X10+Inputs!$F$23*X9</f>
        <v/>
      </c>
      <c r="Y11" s="24">
        <f>Y8*Inputs!$F$19*Y10+Inputs!$F$23*Y9</f>
        <v/>
      </c>
      <c r="Z11" s="24">
        <f>Z8*Inputs!$F$19*Z10+Inputs!$F$23*Z9</f>
        <v/>
      </c>
      <c r="AA11" s="24">
        <f>AA8*Inputs!$F$19*AA10+Inputs!$F$23*AA9</f>
        <v/>
      </c>
      <c r="AB11" s="24">
        <f>AB8*Inputs!$F$19*AB10+Inputs!$F$23*AB9</f>
        <v/>
      </c>
      <c r="AC11" s="24">
        <f>AC8*Inputs!$F$19*AC10+Inputs!$F$23*AC9</f>
        <v/>
      </c>
      <c r="AD11" s="24">
        <f>AD8*Inputs!$F$19*AD10+Inputs!$F$23*AD9</f>
        <v/>
      </c>
      <c r="AE11" s="24">
        <f>AE8*Inputs!$F$19*AE10+Inputs!$F$23*AE9</f>
        <v/>
      </c>
      <c r="AF11" s="24">
        <f>AF8*Inputs!$F$19*AF10+Inputs!$F$23*AF9</f>
        <v/>
      </c>
      <c r="AG11" s="24">
        <f>AG8*Inputs!$F$19*AG10+Inputs!$F$23*AG9</f>
        <v/>
      </c>
      <c r="AH11" s="24">
        <f>AH8*Inputs!$F$19*AH10+Inputs!$F$23*AH9</f>
        <v/>
      </c>
      <c r="AI11" s="24">
        <f>AI8*Inputs!$F$19*AI10+Inputs!$F$23*AI9</f>
        <v/>
      </c>
      <c r="AJ11" s="24">
        <f>AJ8*Inputs!$F$19*AJ10+Inputs!$F$23*AJ9</f>
        <v/>
      </c>
      <c r="AK11" s="24">
        <f>AK8*Inputs!$F$19*AK10+Inputs!$F$23*AK9</f>
        <v/>
      </c>
      <c r="AL11" s="24">
        <f>AL8*Inputs!$F$19*AL10+Inputs!$F$23*AL9</f>
        <v/>
      </c>
      <c r="AM11" s="24">
        <f>AM8*Inputs!$F$19*AM10+Inputs!$F$23*AM9</f>
        <v/>
      </c>
      <c r="AN11" s="24">
        <f>AN8*Inputs!$F$19*AN10+Inputs!$F$23*AN9</f>
        <v/>
      </c>
      <c r="AO11" s="24">
        <f>AO8*Inputs!$F$19*AO10+Inputs!$F$23*AO9</f>
        <v/>
      </c>
      <c r="AP11" s="24">
        <f>AP8*Inputs!$F$19*AP10+Inputs!$F$23*AP9</f>
        <v/>
      </c>
      <c r="AQ11" s="24">
        <f>AQ8*Inputs!$F$19*AQ10+Inputs!$F$23*AQ9</f>
        <v/>
      </c>
      <c r="AR11" s="24">
        <f>AR8*Inputs!$F$19*AR10+Inputs!$F$23*AR9</f>
        <v/>
      </c>
      <c r="AS11" s="24">
        <f>AS8*Inputs!$F$19*AS10+Inputs!$F$23*AS9</f>
        <v/>
      </c>
      <c r="AT11" s="24">
        <f>AT8*Inputs!$F$19*AT10+Inputs!$F$23*AT9</f>
        <v/>
      </c>
      <c r="AU11" s="24">
        <f>AU8*Inputs!$F$19*AU10+Inputs!$F$23*AU9</f>
        <v/>
      </c>
      <c r="AV11" s="24">
        <f>AV8*Inputs!$F$19*AV10+Inputs!$F$23*AV9</f>
        <v/>
      </c>
      <c r="AW11" s="24">
        <f>AW8*Inputs!$F$19*AW10+Inputs!$F$23*AW9</f>
        <v/>
      </c>
      <c r="AX11" s="24">
        <f>AX8*Inputs!$F$19*AX10+Inputs!$F$23*AX9</f>
        <v/>
      </c>
      <c r="AY11" s="24">
        <f>AY8*Inputs!$F$19*AY10+Inputs!$F$23*AY9</f>
        <v/>
      </c>
      <c r="AZ11" s="24">
        <f>AZ8*Inputs!$F$19*AZ10+Inputs!$F$23*AZ9</f>
        <v/>
      </c>
      <c r="BA11" s="24">
        <f>BA8*Inputs!$F$19*BA10+Inputs!$F$23*BA9</f>
        <v/>
      </c>
      <c r="BB11" s="24">
        <f>BB8*Inputs!$F$19*BB10+Inputs!$F$23*BB9</f>
        <v/>
      </c>
      <c r="BC11" s="24">
        <f>BC8*Inputs!$F$19*BC10+Inputs!$F$23*BC9</f>
        <v/>
      </c>
      <c r="BD11" s="24">
        <f>BD8*Inputs!$F$19*BD10+Inputs!$F$23*BD9</f>
        <v/>
      </c>
      <c r="BE11" s="24">
        <f>BE8*Inputs!$F$19*BE10+Inputs!$F$23*BE9</f>
        <v/>
      </c>
      <c r="BF11" s="24">
        <f>BF8*Inputs!$F$19*BF10+Inputs!$F$23*BF9</f>
        <v/>
      </c>
      <c r="BG11" s="24">
        <f>BG8*Inputs!$F$19*BG10+Inputs!$F$23*BG9</f>
        <v/>
      </c>
      <c r="BH11" s="24">
        <f>BH8*Inputs!$F$19*BH10+Inputs!$F$23*BH9</f>
        <v/>
      </c>
      <c r="BI11" s="24">
        <f>BI8*Inputs!$F$19*BI10+Inputs!$F$23*BI9</f>
        <v/>
      </c>
      <c r="BJ11" s="24">
        <f>BJ8*Inputs!$F$19*BJ10+Inputs!$F$23*BJ9</f>
        <v/>
      </c>
    </row>
    <row r="12">
      <c r="A12" t="inlineStr">
        <is>
          <t>Average ticket (AMD, incl. VAT)</t>
        </is>
      </c>
      <c r="C12" s="3">
        <f>Inputs!$F$22*(1+Inputs!$F$24)^(C4-1)</f>
        <v/>
      </c>
      <c r="D12" s="3">
        <f>Inputs!$F$22*(1+Inputs!$F$24)^(D4-1)</f>
        <v/>
      </c>
      <c r="E12" s="3">
        <f>Inputs!$F$22*(1+Inputs!$F$24)^(E4-1)</f>
        <v/>
      </c>
      <c r="F12" s="3">
        <f>Inputs!$F$22*(1+Inputs!$F$24)^(F4-1)</f>
        <v/>
      </c>
      <c r="G12" s="3">
        <f>Inputs!$F$22*(1+Inputs!$F$24)^(G4-1)</f>
        <v/>
      </c>
      <c r="H12" s="3">
        <f>Inputs!$F$22*(1+Inputs!$F$24)^(H4-1)</f>
        <v/>
      </c>
      <c r="I12" s="3">
        <f>Inputs!$F$22*(1+Inputs!$F$24)^(I4-1)</f>
        <v/>
      </c>
      <c r="J12" s="3">
        <f>Inputs!$F$22*(1+Inputs!$F$24)^(J4-1)</f>
        <v/>
      </c>
      <c r="K12" s="3">
        <f>Inputs!$F$22*(1+Inputs!$F$24)^(K4-1)</f>
        <v/>
      </c>
      <c r="L12" s="3">
        <f>Inputs!$F$22*(1+Inputs!$F$24)^(L4-1)</f>
        <v/>
      </c>
      <c r="M12" s="3">
        <f>Inputs!$F$22*(1+Inputs!$F$24)^(M4-1)</f>
        <v/>
      </c>
      <c r="N12" s="3">
        <f>Inputs!$F$22*(1+Inputs!$F$24)^(N4-1)</f>
        <v/>
      </c>
      <c r="O12" s="3">
        <f>Inputs!$F$22*(1+Inputs!$F$24)^(O4-1)</f>
        <v/>
      </c>
      <c r="P12" s="3">
        <f>Inputs!$F$22*(1+Inputs!$F$24)^(P4-1)</f>
        <v/>
      </c>
      <c r="Q12" s="3">
        <f>Inputs!$F$22*(1+Inputs!$F$24)^(Q4-1)</f>
        <v/>
      </c>
      <c r="R12" s="3">
        <f>Inputs!$F$22*(1+Inputs!$F$24)^(R4-1)</f>
        <v/>
      </c>
      <c r="S12" s="3">
        <f>Inputs!$F$22*(1+Inputs!$F$24)^(S4-1)</f>
        <v/>
      </c>
      <c r="T12" s="3">
        <f>Inputs!$F$22*(1+Inputs!$F$24)^(T4-1)</f>
        <v/>
      </c>
      <c r="U12" s="3">
        <f>Inputs!$F$22*(1+Inputs!$F$24)^(U4-1)</f>
        <v/>
      </c>
      <c r="V12" s="3">
        <f>Inputs!$F$22*(1+Inputs!$F$24)^(V4-1)</f>
        <v/>
      </c>
      <c r="W12" s="3">
        <f>Inputs!$F$22*(1+Inputs!$F$24)^(W4-1)</f>
        <v/>
      </c>
      <c r="X12" s="3">
        <f>Inputs!$F$22*(1+Inputs!$F$24)^(X4-1)</f>
        <v/>
      </c>
      <c r="Y12" s="3">
        <f>Inputs!$F$22*(1+Inputs!$F$24)^(Y4-1)</f>
        <v/>
      </c>
      <c r="Z12" s="3">
        <f>Inputs!$F$22*(1+Inputs!$F$24)^(Z4-1)</f>
        <v/>
      </c>
      <c r="AA12" s="3">
        <f>Inputs!$F$22*(1+Inputs!$F$24)^(AA4-1)</f>
        <v/>
      </c>
      <c r="AB12" s="3">
        <f>Inputs!$F$22*(1+Inputs!$F$24)^(AB4-1)</f>
        <v/>
      </c>
      <c r="AC12" s="3">
        <f>Inputs!$F$22*(1+Inputs!$F$24)^(AC4-1)</f>
        <v/>
      </c>
      <c r="AD12" s="3">
        <f>Inputs!$F$22*(1+Inputs!$F$24)^(AD4-1)</f>
        <v/>
      </c>
      <c r="AE12" s="3">
        <f>Inputs!$F$22*(1+Inputs!$F$24)^(AE4-1)</f>
        <v/>
      </c>
      <c r="AF12" s="3">
        <f>Inputs!$F$22*(1+Inputs!$F$24)^(AF4-1)</f>
        <v/>
      </c>
      <c r="AG12" s="3">
        <f>Inputs!$F$22*(1+Inputs!$F$24)^(AG4-1)</f>
        <v/>
      </c>
      <c r="AH12" s="3">
        <f>Inputs!$F$22*(1+Inputs!$F$24)^(AH4-1)</f>
        <v/>
      </c>
      <c r="AI12" s="3">
        <f>Inputs!$F$22*(1+Inputs!$F$24)^(AI4-1)</f>
        <v/>
      </c>
      <c r="AJ12" s="3">
        <f>Inputs!$F$22*(1+Inputs!$F$24)^(AJ4-1)</f>
        <v/>
      </c>
      <c r="AK12" s="3">
        <f>Inputs!$F$22*(1+Inputs!$F$24)^(AK4-1)</f>
        <v/>
      </c>
      <c r="AL12" s="3">
        <f>Inputs!$F$22*(1+Inputs!$F$24)^(AL4-1)</f>
        <v/>
      </c>
      <c r="AM12" s="3">
        <f>Inputs!$F$22*(1+Inputs!$F$24)^(AM4-1)</f>
        <v/>
      </c>
      <c r="AN12" s="3">
        <f>Inputs!$F$22*(1+Inputs!$F$24)^(AN4-1)</f>
        <v/>
      </c>
      <c r="AO12" s="3">
        <f>Inputs!$F$22*(1+Inputs!$F$24)^(AO4-1)</f>
        <v/>
      </c>
      <c r="AP12" s="3">
        <f>Inputs!$F$22*(1+Inputs!$F$24)^(AP4-1)</f>
        <v/>
      </c>
      <c r="AQ12" s="3">
        <f>Inputs!$F$22*(1+Inputs!$F$24)^(AQ4-1)</f>
        <v/>
      </c>
      <c r="AR12" s="3">
        <f>Inputs!$F$22*(1+Inputs!$F$24)^(AR4-1)</f>
        <v/>
      </c>
      <c r="AS12" s="3">
        <f>Inputs!$F$22*(1+Inputs!$F$24)^(AS4-1)</f>
        <v/>
      </c>
      <c r="AT12" s="3">
        <f>Inputs!$F$22*(1+Inputs!$F$24)^(AT4-1)</f>
        <v/>
      </c>
      <c r="AU12" s="3">
        <f>Inputs!$F$22*(1+Inputs!$F$24)^(AU4-1)</f>
        <v/>
      </c>
      <c r="AV12" s="3">
        <f>Inputs!$F$22*(1+Inputs!$F$24)^(AV4-1)</f>
        <v/>
      </c>
      <c r="AW12" s="3">
        <f>Inputs!$F$22*(1+Inputs!$F$24)^(AW4-1)</f>
        <v/>
      </c>
      <c r="AX12" s="3">
        <f>Inputs!$F$22*(1+Inputs!$F$24)^(AX4-1)</f>
        <v/>
      </c>
      <c r="AY12" s="3">
        <f>Inputs!$F$22*(1+Inputs!$F$24)^(AY4-1)</f>
        <v/>
      </c>
      <c r="AZ12" s="3">
        <f>Inputs!$F$22*(1+Inputs!$F$24)^(AZ4-1)</f>
        <v/>
      </c>
      <c r="BA12" s="3">
        <f>Inputs!$F$22*(1+Inputs!$F$24)^(BA4-1)</f>
        <v/>
      </c>
      <c r="BB12" s="3">
        <f>Inputs!$F$22*(1+Inputs!$F$24)^(BB4-1)</f>
        <v/>
      </c>
      <c r="BC12" s="3">
        <f>Inputs!$F$22*(1+Inputs!$F$24)^(BC4-1)</f>
        <v/>
      </c>
      <c r="BD12" s="3">
        <f>Inputs!$F$22*(1+Inputs!$F$24)^(BD4-1)</f>
        <v/>
      </c>
      <c r="BE12" s="3">
        <f>Inputs!$F$22*(1+Inputs!$F$24)^(BE4-1)</f>
        <v/>
      </c>
      <c r="BF12" s="3">
        <f>Inputs!$F$22*(1+Inputs!$F$24)^(BF4-1)</f>
        <v/>
      </c>
      <c r="BG12" s="3">
        <f>Inputs!$F$22*(1+Inputs!$F$24)^(BG4-1)</f>
        <v/>
      </c>
      <c r="BH12" s="3">
        <f>Inputs!$F$22*(1+Inputs!$F$24)^(BH4-1)</f>
        <v/>
      </c>
      <c r="BI12" s="3">
        <f>Inputs!$F$22*(1+Inputs!$F$24)^(BI4-1)</f>
        <v/>
      </c>
      <c r="BJ12" s="3">
        <f>Inputs!$F$22*(1+Inputs!$F$24)^(BJ4-1)</f>
        <v/>
      </c>
    </row>
    <row r="13">
      <c r="A13" t="inlineStr">
        <is>
          <t>Gross sales (incl. VAT)</t>
        </is>
      </c>
      <c r="C13" s="3">
        <f>C11*C6*C12</f>
        <v/>
      </c>
      <c r="D13" s="3">
        <f>D11*D6*D12</f>
        <v/>
      </c>
      <c r="E13" s="3">
        <f>E11*E6*E12</f>
        <v/>
      </c>
      <c r="F13" s="3">
        <f>F11*F6*F12</f>
        <v/>
      </c>
      <c r="G13" s="3">
        <f>G11*G6*G12</f>
        <v/>
      </c>
      <c r="H13" s="3">
        <f>H11*H6*H12</f>
        <v/>
      </c>
      <c r="I13" s="3">
        <f>I11*I6*I12</f>
        <v/>
      </c>
      <c r="J13" s="3">
        <f>J11*J6*J12</f>
        <v/>
      </c>
      <c r="K13" s="3">
        <f>K11*K6*K12</f>
        <v/>
      </c>
      <c r="L13" s="3">
        <f>L11*L6*L12</f>
        <v/>
      </c>
      <c r="M13" s="3">
        <f>M11*M6*M12</f>
        <v/>
      </c>
      <c r="N13" s="3">
        <f>N11*N6*N12</f>
        <v/>
      </c>
      <c r="O13" s="3">
        <f>O11*O6*O12</f>
        <v/>
      </c>
      <c r="P13" s="3">
        <f>P11*P6*P12</f>
        <v/>
      </c>
      <c r="Q13" s="3">
        <f>Q11*Q6*Q12</f>
        <v/>
      </c>
      <c r="R13" s="3">
        <f>R11*R6*R12</f>
        <v/>
      </c>
      <c r="S13" s="3">
        <f>S11*S6*S12</f>
        <v/>
      </c>
      <c r="T13" s="3">
        <f>T11*T6*T12</f>
        <v/>
      </c>
      <c r="U13" s="3">
        <f>U11*U6*U12</f>
        <v/>
      </c>
      <c r="V13" s="3">
        <f>V11*V6*V12</f>
        <v/>
      </c>
      <c r="W13" s="3">
        <f>W11*W6*W12</f>
        <v/>
      </c>
      <c r="X13" s="3">
        <f>X11*X6*X12</f>
        <v/>
      </c>
      <c r="Y13" s="3">
        <f>Y11*Y6*Y12</f>
        <v/>
      </c>
      <c r="Z13" s="3">
        <f>Z11*Z6*Z12</f>
        <v/>
      </c>
      <c r="AA13" s="3">
        <f>AA11*AA6*AA12</f>
        <v/>
      </c>
      <c r="AB13" s="3">
        <f>AB11*AB6*AB12</f>
        <v/>
      </c>
      <c r="AC13" s="3">
        <f>AC11*AC6*AC12</f>
        <v/>
      </c>
      <c r="AD13" s="3">
        <f>AD11*AD6*AD12</f>
        <v/>
      </c>
      <c r="AE13" s="3">
        <f>AE11*AE6*AE12</f>
        <v/>
      </c>
      <c r="AF13" s="3">
        <f>AF11*AF6*AF12</f>
        <v/>
      </c>
      <c r="AG13" s="3">
        <f>AG11*AG6*AG12</f>
        <v/>
      </c>
      <c r="AH13" s="3">
        <f>AH11*AH6*AH12</f>
        <v/>
      </c>
      <c r="AI13" s="3">
        <f>AI11*AI6*AI12</f>
        <v/>
      </c>
      <c r="AJ13" s="3">
        <f>AJ11*AJ6*AJ12</f>
        <v/>
      </c>
      <c r="AK13" s="3">
        <f>AK11*AK6*AK12</f>
        <v/>
      </c>
      <c r="AL13" s="3">
        <f>AL11*AL6*AL12</f>
        <v/>
      </c>
      <c r="AM13" s="3">
        <f>AM11*AM6*AM12</f>
        <v/>
      </c>
      <c r="AN13" s="3">
        <f>AN11*AN6*AN12</f>
        <v/>
      </c>
      <c r="AO13" s="3">
        <f>AO11*AO6*AO12</f>
        <v/>
      </c>
      <c r="AP13" s="3">
        <f>AP11*AP6*AP12</f>
        <v/>
      </c>
      <c r="AQ13" s="3">
        <f>AQ11*AQ6*AQ12</f>
        <v/>
      </c>
      <c r="AR13" s="3">
        <f>AR11*AR6*AR12</f>
        <v/>
      </c>
      <c r="AS13" s="3">
        <f>AS11*AS6*AS12</f>
        <v/>
      </c>
      <c r="AT13" s="3">
        <f>AT11*AT6*AT12</f>
        <v/>
      </c>
      <c r="AU13" s="3">
        <f>AU11*AU6*AU12</f>
        <v/>
      </c>
      <c r="AV13" s="3">
        <f>AV11*AV6*AV12</f>
        <v/>
      </c>
      <c r="AW13" s="3">
        <f>AW11*AW6*AW12</f>
        <v/>
      </c>
      <c r="AX13" s="3">
        <f>AX11*AX6*AX12</f>
        <v/>
      </c>
      <c r="AY13" s="3">
        <f>AY11*AY6*AY12</f>
        <v/>
      </c>
      <c r="AZ13" s="3">
        <f>AZ11*AZ6*AZ12</f>
        <v/>
      </c>
      <c r="BA13" s="3">
        <f>BA11*BA6*BA12</f>
        <v/>
      </c>
      <c r="BB13" s="3">
        <f>BB11*BB6*BB12</f>
        <v/>
      </c>
      <c r="BC13" s="3">
        <f>BC11*BC6*BC12</f>
        <v/>
      </c>
      <c r="BD13" s="3">
        <f>BD11*BD6*BD12</f>
        <v/>
      </c>
      <c r="BE13" s="3">
        <f>BE11*BE6*BE12</f>
        <v/>
      </c>
      <c r="BF13" s="3">
        <f>BF11*BF6*BF12</f>
        <v/>
      </c>
      <c r="BG13" s="3">
        <f>BG11*BG6*BG12</f>
        <v/>
      </c>
      <c r="BH13" s="3">
        <f>BH11*BH6*BH12</f>
        <v/>
      </c>
      <c r="BI13" s="3">
        <f>BI11*BI6*BI12</f>
        <v/>
      </c>
      <c r="BJ13" s="3">
        <f>BJ11*BJ6*BJ12</f>
        <v/>
      </c>
    </row>
    <row r="14">
      <c r="A14" s="18" t="inlineStr">
        <is>
          <t>Net sales (excl. VAT)</t>
        </is>
      </c>
      <c r="C14" s="3">
        <f>C13/(1+Inputs!$F$10)</f>
        <v/>
      </c>
      <c r="D14" s="3">
        <f>D13/(1+Inputs!$F$10)</f>
        <v/>
      </c>
      <c r="E14" s="3">
        <f>E13/(1+Inputs!$F$10)</f>
        <v/>
      </c>
      <c r="F14" s="3">
        <f>F13/(1+Inputs!$F$10)</f>
        <v/>
      </c>
      <c r="G14" s="3">
        <f>G13/(1+Inputs!$F$10)</f>
        <v/>
      </c>
      <c r="H14" s="3">
        <f>H13/(1+Inputs!$F$10)</f>
        <v/>
      </c>
      <c r="I14" s="3">
        <f>I13/(1+Inputs!$F$10)</f>
        <v/>
      </c>
      <c r="J14" s="3">
        <f>J13/(1+Inputs!$F$10)</f>
        <v/>
      </c>
      <c r="K14" s="3">
        <f>K13/(1+Inputs!$F$10)</f>
        <v/>
      </c>
      <c r="L14" s="3">
        <f>L13/(1+Inputs!$F$10)</f>
        <v/>
      </c>
      <c r="M14" s="3">
        <f>M13/(1+Inputs!$F$10)</f>
        <v/>
      </c>
      <c r="N14" s="3">
        <f>N13/(1+Inputs!$F$10)</f>
        <v/>
      </c>
      <c r="O14" s="3">
        <f>O13/(1+Inputs!$F$10)</f>
        <v/>
      </c>
      <c r="P14" s="3">
        <f>P13/(1+Inputs!$F$10)</f>
        <v/>
      </c>
      <c r="Q14" s="3">
        <f>Q13/(1+Inputs!$F$10)</f>
        <v/>
      </c>
      <c r="R14" s="3">
        <f>R13/(1+Inputs!$F$10)</f>
        <v/>
      </c>
      <c r="S14" s="3">
        <f>S13/(1+Inputs!$F$10)</f>
        <v/>
      </c>
      <c r="T14" s="3">
        <f>T13/(1+Inputs!$F$10)</f>
        <v/>
      </c>
      <c r="U14" s="3">
        <f>U13/(1+Inputs!$F$10)</f>
        <v/>
      </c>
      <c r="V14" s="3">
        <f>V13/(1+Inputs!$F$10)</f>
        <v/>
      </c>
      <c r="W14" s="3">
        <f>W13/(1+Inputs!$F$10)</f>
        <v/>
      </c>
      <c r="X14" s="3">
        <f>X13/(1+Inputs!$F$10)</f>
        <v/>
      </c>
      <c r="Y14" s="3">
        <f>Y13/(1+Inputs!$F$10)</f>
        <v/>
      </c>
      <c r="Z14" s="3">
        <f>Z13/(1+Inputs!$F$10)</f>
        <v/>
      </c>
      <c r="AA14" s="3">
        <f>AA13/(1+Inputs!$F$10)</f>
        <v/>
      </c>
      <c r="AB14" s="3">
        <f>AB13/(1+Inputs!$F$10)</f>
        <v/>
      </c>
      <c r="AC14" s="3">
        <f>AC13/(1+Inputs!$F$10)</f>
        <v/>
      </c>
      <c r="AD14" s="3">
        <f>AD13/(1+Inputs!$F$10)</f>
        <v/>
      </c>
      <c r="AE14" s="3">
        <f>AE13/(1+Inputs!$F$10)</f>
        <v/>
      </c>
      <c r="AF14" s="3">
        <f>AF13/(1+Inputs!$F$10)</f>
        <v/>
      </c>
      <c r="AG14" s="3">
        <f>AG13/(1+Inputs!$F$10)</f>
        <v/>
      </c>
      <c r="AH14" s="3">
        <f>AH13/(1+Inputs!$F$10)</f>
        <v/>
      </c>
      <c r="AI14" s="3">
        <f>AI13/(1+Inputs!$F$10)</f>
        <v/>
      </c>
      <c r="AJ14" s="3">
        <f>AJ13/(1+Inputs!$F$10)</f>
        <v/>
      </c>
      <c r="AK14" s="3">
        <f>AK13/(1+Inputs!$F$10)</f>
        <v/>
      </c>
      <c r="AL14" s="3">
        <f>AL13/(1+Inputs!$F$10)</f>
        <v/>
      </c>
      <c r="AM14" s="3">
        <f>AM13/(1+Inputs!$F$10)</f>
        <v/>
      </c>
      <c r="AN14" s="3">
        <f>AN13/(1+Inputs!$F$10)</f>
        <v/>
      </c>
      <c r="AO14" s="3">
        <f>AO13/(1+Inputs!$F$10)</f>
        <v/>
      </c>
      <c r="AP14" s="3">
        <f>AP13/(1+Inputs!$F$10)</f>
        <v/>
      </c>
      <c r="AQ14" s="3">
        <f>AQ13/(1+Inputs!$F$10)</f>
        <v/>
      </c>
      <c r="AR14" s="3">
        <f>AR13/(1+Inputs!$F$10)</f>
        <v/>
      </c>
      <c r="AS14" s="3">
        <f>AS13/(1+Inputs!$F$10)</f>
        <v/>
      </c>
      <c r="AT14" s="3">
        <f>AT13/(1+Inputs!$F$10)</f>
        <v/>
      </c>
      <c r="AU14" s="3">
        <f>AU13/(1+Inputs!$F$10)</f>
        <v/>
      </c>
      <c r="AV14" s="3">
        <f>AV13/(1+Inputs!$F$10)</f>
        <v/>
      </c>
      <c r="AW14" s="3">
        <f>AW13/(1+Inputs!$F$10)</f>
        <v/>
      </c>
      <c r="AX14" s="3">
        <f>AX13/(1+Inputs!$F$10)</f>
        <v/>
      </c>
      <c r="AY14" s="3">
        <f>AY13/(1+Inputs!$F$10)</f>
        <v/>
      </c>
      <c r="AZ14" s="3">
        <f>AZ13/(1+Inputs!$F$10)</f>
        <v/>
      </c>
      <c r="BA14" s="3">
        <f>BA13/(1+Inputs!$F$10)</f>
        <v/>
      </c>
      <c r="BB14" s="3">
        <f>BB13/(1+Inputs!$F$10)</f>
        <v/>
      </c>
      <c r="BC14" s="3">
        <f>BC13/(1+Inputs!$F$10)</f>
        <v/>
      </c>
      <c r="BD14" s="3">
        <f>BD13/(1+Inputs!$F$10)</f>
        <v/>
      </c>
      <c r="BE14" s="3">
        <f>BE13/(1+Inputs!$F$10)</f>
        <v/>
      </c>
      <c r="BF14" s="3">
        <f>BF13/(1+Inputs!$F$10)</f>
        <v/>
      </c>
      <c r="BG14" s="3">
        <f>BG13/(1+Inputs!$F$10)</f>
        <v/>
      </c>
      <c r="BH14" s="3">
        <f>BH13/(1+Inputs!$F$10)</f>
        <v/>
      </c>
      <c r="BI14" s="3">
        <f>BI13/(1+Inputs!$F$10)</f>
        <v/>
      </c>
      <c r="BJ14" s="3">
        <f>BJ13/(1+Inputs!$F$10)</f>
        <v/>
      </c>
    </row>
    <row r="15">
      <c r="A15" t="inlineStr">
        <is>
          <t>COGS + waste</t>
        </is>
      </c>
      <c r="C15" s="3">
        <f>C14*(Inputs!$F$55+Inputs!$F$56)</f>
        <v/>
      </c>
      <c r="D15" s="3">
        <f>D14*(Inputs!$F$55+Inputs!$F$56)</f>
        <v/>
      </c>
      <c r="E15" s="3">
        <f>E14*(Inputs!$F$55+Inputs!$F$56)</f>
        <v/>
      </c>
      <c r="F15" s="3">
        <f>F14*(Inputs!$F$55+Inputs!$F$56)</f>
        <v/>
      </c>
      <c r="G15" s="3">
        <f>G14*(Inputs!$F$55+Inputs!$F$56)</f>
        <v/>
      </c>
      <c r="H15" s="3">
        <f>H14*(Inputs!$F$55+Inputs!$F$56)</f>
        <v/>
      </c>
      <c r="I15" s="3">
        <f>I14*(Inputs!$F$55+Inputs!$F$56)</f>
        <v/>
      </c>
      <c r="J15" s="3">
        <f>J14*(Inputs!$F$55+Inputs!$F$56)</f>
        <v/>
      </c>
      <c r="K15" s="3">
        <f>K14*(Inputs!$F$55+Inputs!$F$56)</f>
        <v/>
      </c>
      <c r="L15" s="3">
        <f>L14*(Inputs!$F$55+Inputs!$F$56)</f>
        <v/>
      </c>
      <c r="M15" s="3">
        <f>M14*(Inputs!$F$55+Inputs!$F$56)</f>
        <v/>
      </c>
      <c r="N15" s="3">
        <f>N14*(Inputs!$F$55+Inputs!$F$56)</f>
        <v/>
      </c>
      <c r="O15" s="3">
        <f>O14*(Inputs!$F$55+Inputs!$F$56)</f>
        <v/>
      </c>
      <c r="P15" s="3">
        <f>P14*(Inputs!$F$55+Inputs!$F$56)</f>
        <v/>
      </c>
      <c r="Q15" s="3">
        <f>Q14*(Inputs!$F$55+Inputs!$F$56)</f>
        <v/>
      </c>
      <c r="R15" s="3">
        <f>R14*(Inputs!$F$55+Inputs!$F$56)</f>
        <v/>
      </c>
      <c r="S15" s="3">
        <f>S14*(Inputs!$F$55+Inputs!$F$56)</f>
        <v/>
      </c>
      <c r="T15" s="3">
        <f>T14*(Inputs!$F$55+Inputs!$F$56)</f>
        <v/>
      </c>
      <c r="U15" s="3">
        <f>U14*(Inputs!$F$55+Inputs!$F$56)</f>
        <v/>
      </c>
      <c r="V15" s="3">
        <f>V14*(Inputs!$F$55+Inputs!$F$56)</f>
        <v/>
      </c>
      <c r="W15" s="3">
        <f>W14*(Inputs!$F$55+Inputs!$F$56)</f>
        <v/>
      </c>
      <c r="X15" s="3">
        <f>X14*(Inputs!$F$55+Inputs!$F$56)</f>
        <v/>
      </c>
      <c r="Y15" s="3">
        <f>Y14*(Inputs!$F$55+Inputs!$F$56)</f>
        <v/>
      </c>
      <c r="Z15" s="3">
        <f>Z14*(Inputs!$F$55+Inputs!$F$56)</f>
        <v/>
      </c>
      <c r="AA15" s="3">
        <f>AA14*(Inputs!$F$55+Inputs!$F$56)</f>
        <v/>
      </c>
      <c r="AB15" s="3">
        <f>AB14*(Inputs!$F$55+Inputs!$F$56)</f>
        <v/>
      </c>
      <c r="AC15" s="3">
        <f>AC14*(Inputs!$F$55+Inputs!$F$56)</f>
        <v/>
      </c>
      <c r="AD15" s="3">
        <f>AD14*(Inputs!$F$55+Inputs!$F$56)</f>
        <v/>
      </c>
      <c r="AE15" s="3">
        <f>AE14*(Inputs!$F$55+Inputs!$F$56)</f>
        <v/>
      </c>
      <c r="AF15" s="3">
        <f>AF14*(Inputs!$F$55+Inputs!$F$56)</f>
        <v/>
      </c>
      <c r="AG15" s="3">
        <f>AG14*(Inputs!$F$55+Inputs!$F$56)</f>
        <v/>
      </c>
      <c r="AH15" s="3">
        <f>AH14*(Inputs!$F$55+Inputs!$F$56)</f>
        <v/>
      </c>
      <c r="AI15" s="3">
        <f>AI14*(Inputs!$F$55+Inputs!$F$56)</f>
        <v/>
      </c>
      <c r="AJ15" s="3">
        <f>AJ14*(Inputs!$F$55+Inputs!$F$56)</f>
        <v/>
      </c>
      <c r="AK15" s="3">
        <f>AK14*(Inputs!$F$55+Inputs!$F$56)</f>
        <v/>
      </c>
      <c r="AL15" s="3">
        <f>AL14*(Inputs!$F$55+Inputs!$F$56)</f>
        <v/>
      </c>
      <c r="AM15" s="3">
        <f>AM14*(Inputs!$F$55+Inputs!$F$56)</f>
        <v/>
      </c>
      <c r="AN15" s="3">
        <f>AN14*(Inputs!$F$55+Inputs!$F$56)</f>
        <v/>
      </c>
      <c r="AO15" s="3">
        <f>AO14*(Inputs!$F$55+Inputs!$F$56)</f>
        <v/>
      </c>
      <c r="AP15" s="3">
        <f>AP14*(Inputs!$F$55+Inputs!$F$56)</f>
        <v/>
      </c>
      <c r="AQ15" s="3">
        <f>AQ14*(Inputs!$F$55+Inputs!$F$56)</f>
        <v/>
      </c>
      <c r="AR15" s="3">
        <f>AR14*(Inputs!$F$55+Inputs!$F$56)</f>
        <v/>
      </c>
      <c r="AS15" s="3">
        <f>AS14*(Inputs!$F$55+Inputs!$F$56)</f>
        <v/>
      </c>
      <c r="AT15" s="3">
        <f>AT14*(Inputs!$F$55+Inputs!$F$56)</f>
        <v/>
      </c>
      <c r="AU15" s="3">
        <f>AU14*(Inputs!$F$55+Inputs!$F$56)</f>
        <v/>
      </c>
      <c r="AV15" s="3">
        <f>AV14*(Inputs!$F$55+Inputs!$F$56)</f>
        <v/>
      </c>
      <c r="AW15" s="3">
        <f>AW14*(Inputs!$F$55+Inputs!$F$56)</f>
        <v/>
      </c>
      <c r="AX15" s="3">
        <f>AX14*(Inputs!$F$55+Inputs!$F$56)</f>
        <v/>
      </c>
      <c r="AY15" s="3">
        <f>AY14*(Inputs!$F$55+Inputs!$F$56)</f>
        <v/>
      </c>
      <c r="AZ15" s="3">
        <f>AZ14*(Inputs!$F$55+Inputs!$F$56)</f>
        <v/>
      </c>
      <c r="BA15" s="3">
        <f>BA14*(Inputs!$F$55+Inputs!$F$56)</f>
        <v/>
      </c>
      <c r="BB15" s="3">
        <f>BB14*(Inputs!$F$55+Inputs!$F$56)</f>
        <v/>
      </c>
      <c r="BC15" s="3">
        <f>BC14*(Inputs!$F$55+Inputs!$F$56)</f>
        <v/>
      </c>
      <c r="BD15" s="3">
        <f>BD14*(Inputs!$F$55+Inputs!$F$56)</f>
        <v/>
      </c>
      <c r="BE15" s="3">
        <f>BE14*(Inputs!$F$55+Inputs!$F$56)</f>
        <v/>
      </c>
      <c r="BF15" s="3">
        <f>BF14*(Inputs!$F$55+Inputs!$F$56)</f>
        <v/>
      </c>
      <c r="BG15" s="3">
        <f>BG14*(Inputs!$F$55+Inputs!$F$56)</f>
        <v/>
      </c>
      <c r="BH15" s="3">
        <f>BH14*(Inputs!$F$55+Inputs!$F$56)</f>
        <v/>
      </c>
      <c r="BI15" s="3">
        <f>BI14*(Inputs!$F$55+Inputs!$F$56)</f>
        <v/>
      </c>
      <c r="BJ15" s="3">
        <f>BJ14*(Inputs!$F$55+Inputs!$F$56)</f>
        <v/>
      </c>
    </row>
    <row r="16">
      <c r="A16" t="inlineStr">
        <is>
          <t>Card fees</t>
        </is>
      </c>
      <c r="C16" s="3">
        <f>C13*Inputs!$F$57*Inputs!$F$58</f>
        <v/>
      </c>
      <c r="D16" s="3">
        <f>D13*Inputs!$F$57*Inputs!$F$58</f>
        <v/>
      </c>
      <c r="E16" s="3">
        <f>E13*Inputs!$F$57*Inputs!$F$58</f>
        <v/>
      </c>
      <c r="F16" s="3">
        <f>F13*Inputs!$F$57*Inputs!$F$58</f>
        <v/>
      </c>
      <c r="G16" s="3">
        <f>G13*Inputs!$F$57*Inputs!$F$58</f>
        <v/>
      </c>
      <c r="H16" s="3">
        <f>H13*Inputs!$F$57*Inputs!$F$58</f>
        <v/>
      </c>
      <c r="I16" s="3">
        <f>I13*Inputs!$F$57*Inputs!$F$58</f>
        <v/>
      </c>
      <c r="J16" s="3">
        <f>J13*Inputs!$F$57*Inputs!$F$58</f>
        <v/>
      </c>
      <c r="K16" s="3">
        <f>K13*Inputs!$F$57*Inputs!$F$58</f>
        <v/>
      </c>
      <c r="L16" s="3">
        <f>L13*Inputs!$F$57*Inputs!$F$58</f>
        <v/>
      </c>
      <c r="M16" s="3">
        <f>M13*Inputs!$F$57*Inputs!$F$58</f>
        <v/>
      </c>
      <c r="N16" s="3">
        <f>N13*Inputs!$F$57*Inputs!$F$58</f>
        <v/>
      </c>
      <c r="O16" s="3">
        <f>O13*Inputs!$F$57*Inputs!$F$58</f>
        <v/>
      </c>
      <c r="P16" s="3">
        <f>P13*Inputs!$F$57*Inputs!$F$58</f>
        <v/>
      </c>
      <c r="Q16" s="3">
        <f>Q13*Inputs!$F$57*Inputs!$F$58</f>
        <v/>
      </c>
      <c r="R16" s="3">
        <f>R13*Inputs!$F$57*Inputs!$F$58</f>
        <v/>
      </c>
      <c r="S16" s="3">
        <f>S13*Inputs!$F$57*Inputs!$F$58</f>
        <v/>
      </c>
      <c r="T16" s="3">
        <f>T13*Inputs!$F$57*Inputs!$F$58</f>
        <v/>
      </c>
      <c r="U16" s="3">
        <f>U13*Inputs!$F$57*Inputs!$F$58</f>
        <v/>
      </c>
      <c r="V16" s="3">
        <f>V13*Inputs!$F$57*Inputs!$F$58</f>
        <v/>
      </c>
      <c r="W16" s="3">
        <f>W13*Inputs!$F$57*Inputs!$F$58</f>
        <v/>
      </c>
      <c r="X16" s="3">
        <f>X13*Inputs!$F$57*Inputs!$F$58</f>
        <v/>
      </c>
      <c r="Y16" s="3">
        <f>Y13*Inputs!$F$57*Inputs!$F$58</f>
        <v/>
      </c>
      <c r="Z16" s="3">
        <f>Z13*Inputs!$F$57*Inputs!$F$58</f>
        <v/>
      </c>
      <c r="AA16" s="3">
        <f>AA13*Inputs!$F$57*Inputs!$F$58</f>
        <v/>
      </c>
      <c r="AB16" s="3">
        <f>AB13*Inputs!$F$57*Inputs!$F$58</f>
        <v/>
      </c>
      <c r="AC16" s="3">
        <f>AC13*Inputs!$F$57*Inputs!$F$58</f>
        <v/>
      </c>
      <c r="AD16" s="3">
        <f>AD13*Inputs!$F$57*Inputs!$F$58</f>
        <v/>
      </c>
      <c r="AE16" s="3">
        <f>AE13*Inputs!$F$57*Inputs!$F$58</f>
        <v/>
      </c>
      <c r="AF16" s="3">
        <f>AF13*Inputs!$F$57*Inputs!$F$58</f>
        <v/>
      </c>
      <c r="AG16" s="3">
        <f>AG13*Inputs!$F$57*Inputs!$F$58</f>
        <v/>
      </c>
      <c r="AH16" s="3">
        <f>AH13*Inputs!$F$57*Inputs!$F$58</f>
        <v/>
      </c>
      <c r="AI16" s="3">
        <f>AI13*Inputs!$F$57*Inputs!$F$58</f>
        <v/>
      </c>
      <c r="AJ16" s="3">
        <f>AJ13*Inputs!$F$57*Inputs!$F$58</f>
        <v/>
      </c>
      <c r="AK16" s="3">
        <f>AK13*Inputs!$F$57*Inputs!$F$58</f>
        <v/>
      </c>
      <c r="AL16" s="3">
        <f>AL13*Inputs!$F$57*Inputs!$F$58</f>
        <v/>
      </c>
      <c r="AM16" s="3">
        <f>AM13*Inputs!$F$57*Inputs!$F$58</f>
        <v/>
      </c>
      <c r="AN16" s="3">
        <f>AN13*Inputs!$F$57*Inputs!$F$58</f>
        <v/>
      </c>
      <c r="AO16" s="3">
        <f>AO13*Inputs!$F$57*Inputs!$F$58</f>
        <v/>
      </c>
      <c r="AP16" s="3">
        <f>AP13*Inputs!$F$57*Inputs!$F$58</f>
        <v/>
      </c>
      <c r="AQ16" s="3">
        <f>AQ13*Inputs!$F$57*Inputs!$F$58</f>
        <v/>
      </c>
      <c r="AR16" s="3">
        <f>AR13*Inputs!$F$57*Inputs!$F$58</f>
        <v/>
      </c>
      <c r="AS16" s="3">
        <f>AS13*Inputs!$F$57*Inputs!$F$58</f>
        <v/>
      </c>
      <c r="AT16" s="3">
        <f>AT13*Inputs!$F$57*Inputs!$F$58</f>
        <v/>
      </c>
      <c r="AU16" s="3">
        <f>AU13*Inputs!$F$57*Inputs!$F$58</f>
        <v/>
      </c>
      <c r="AV16" s="3">
        <f>AV13*Inputs!$F$57*Inputs!$F$58</f>
        <v/>
      </c>
      <c r="AW16" s="3">
        <f>AW13*Inputs!$F$57*Inputs!$F$58</f>
        <v/>
      </c>
      <c r="AX16" s="3">
        <f>AX13*Inputs!$F$57*Inputs!$F$58</f>
        <v/>
      </c>
      <c r="AY16" s="3">
        <f>AY13*Inputs!$F$57*Inputs!$F$58</f>
        <v/>
      </c>
      <c r="AZ16" s="3">
        <f>AZ13*Inputs!$F$57*Inputs!$F$58</f>
        <v/>
      </c>
      <c r="BA16" s="3">
        <f>BA13*Inputs!$F$57*Inputs!$F$58</f>
        <v/>
      </c>
      <c r="BB16" s="3">
        <f>BB13*Inputs!$F$57*Inputs!$F$58</f>
        <v/>
      </c>
      <c r="BC16" s="3">
        <f>BC13*Inputs!$F$57*Inputs!$F$58</f>
        <v/>
      </c>
      <c r="BD16" s="3">
        <f>BD13*Inputs!$F$57*Inputs!$F$58</f>
        <v/>
      </c>
      <c r="BE16" s="3">
        <f>BE13*Inputs!$F$57*Inputs!$F$58</f>
        <v/>
      </c>
      <c r="BF16" s="3">
        <f>BF13*Inputs!$F$57*Inputs!$F$58</f>
        <v/>
      </c>
      <c r="BG16" s="3">
        <f>BG13*Inputs!$F$57*Inputs!$F$58</f>
        <v/>
      </c>
      <c r="BH16" s="3">
        <f>BH13*Inputs!$F$57*Inputs!$F$58</f>
        <v/>
      </c>
      <c r="BI16" s="3">
        <f>BI13*Inputs!$F$57*Inputs!$F$58</f>
        <v/>
      </c>
      <c r="BJ16" s="3">
        <f>BJ13*Inputs!$F$57*Inputs!$F$58</f>
        <v/>
      </c>
    </row>
    <row r="17">
      <c r="A17" t="inlineStr">
        <is>
          <t>Marketing</t>
        </is>
      </c>
      <c r="C17" s="3">
        <f>C14*Inputs!$F$59+IF(C3&lt;=3,Inputs!$F$60/3,0)</f>
        <v/>
      </c>
      <c r="D17" s="3">
        <f>D14*Inputs!$F$59+IF(D3&lt;=3,Inputs!$F$60/3,0)</f>
        <v/>
      </c>
      <c r="E17" s="3">
        <f>E14*Inputs!$F$59+IF(E3&lt;=3,Inputs!$F$60/3,0)</f>
        <v/>
      </c>
      <c r="F17" s="3">
        <f>F14*Inputs!$F$59+IF(F3&lt;=3,Inputs!$F$60/3,0)</f>
        <v/>
      </c>
      <c r="G17" s="3">
        <f>G14*Inputs!$F$59+IF(G3&lt;=3,Inputs!$F$60/3,0)</f>
        <v/>
      </c>
      <c r="H17" s="3">
        <f>H14*Inputs!$F$59+IF(H3&lt;=3,Inputs!$F$60/3,0)</f>
        <v/>
      </c>
      <c r="I17" s="3">
        <f>I14*Inputs!$F$59+IF(I3&lt;=3,Inputs!$F$60/3,0)</f>
        <v/>
      </c>
      <c r="J17" s="3">
        <f>J14*Inputs!$F$59+IF(J3&lt;=3,Inputs!$F$60/3,0)</f>
        <v/>
      </c>
      <c r="K17" s="3">
        <f>K14*Inputs!$F$59+IF(K3&lt;=3,Inputs!$F$60/3,0)</f>
        <v/>
      </c>
      <c r="L17" s="3">
        <f>L14*Inputs!$F$59+IF(L3&lt;=3,Inputs!$F$60/3,0)</f>
        <v/>
      </c>
      <c r="M17" s="3">
        <f>M14*Inputs!$F$59+IF(M3&lt;=3,Inputs!$F$60/3,0)</f>
        <v/>
      </c>
      <c r="N17" s="3">
        <f>N14*Inputs!$F$59+IF(N3&lt;=3,Inputs!$F$60/3,0)</f>
        <v/>
      </c>
      <c r="O17" s="3">
        <f>O14*Inputs!$F$59+IF(O3&lt;=3,Inputs!$F$60/3,0)</f>
        <v/>
      </c>
      <c r="P17" s="3">
        <f>P14*Inputs!$F$59+IF(P3&lt;=3,Inputs!$F$60/3,0)</f>
        <v/>
      </c>
      <c r="Q17" s="3">
        <f>Q14*Inputs!$F$59+IF(Q3&lt;=3,Inputs!$F$60/3,0)</f>
        <v/>
      </c>
      <c r="R17" s="3">
        <f>R14*Inputs!$F$59+IF(R3&lt;=3,Inputs!$F$60/3,0)</f>
        <v/>
      </c>
      <c r="S17" s="3">
        <f>S14*Inputs!$F$59+IF(S3&lt;=3,Inputs!$F$60/3,0)</f>
        <v/>
      </c>
      <c r="T17" s="3">
        <f>T14*Inputs!$F$59+IF(T3&lt;=3,Inputs!$F$60/3,0)</f>
        <v/>
      </c>
      <c r="U17" s="3">
        <f>U14*Inputs!$F$59+IF(U3&lt;=3,Inputs!$F$60/3,0)</f>
        <v/>
      </c>
      <c r="V17" s="3">
        <f>V14*Inputs!$F$59+IF(V3&lt;=3,Inputs!$F$60/3,0)</f>
        <v/>
      </c>
      <c r="W17" s="3">
        <f>W14*Inputs!$F$59+IF(W3&lt;=3,Inputs!$F$60/3,0)</f>
        <v/>
      </c>
      <c r="X17" s="3">
        <f>X14*Inputs!$F$59+IF(X3&lt;=3,Inputs!$F$60/3,0)</f>
        <v/>
      </c>
      <c r="Y17" s="3">
        <f>Y14*Inputs!$F$59+IF(Y3&lt;=3,Inputs!$F$60/3,0)</f>
        <v/>
      </c>
      <c r="Z17" s="3">
        <f>Z14*Inputs!$F$59+IF(Z3&lt;=3,Inputs!$F$60/3,0)</f>
        <v/>
      </c>
      <c r="AA17" s="3">
        <f>AA14*Inputs!$F$59+IF(AA3&lt;=3,Inputs!$F$60/3,0)</f>
        <v/>
      </c>
      <c r="AB17" s="3">
        <f>AB14*Inputs!$F$59+IF(AB3&lt;=3,Inputs!$F$60/3,0)</f>
        <v/>
      </c>
      <c r="AC17" s="3">
        <f>AC14*Inputs!$F$59+IF(AC3&lt;=3,Inputs!$F$60/3,0)</f>
        <v/>
      </c>
      <c r="AD17" s="3">
        <f>AD14*Inputs!$F$59+IF(AD3&lt;=3,Inputs!$F$60/3,0)</f>
        <v/>
      </c>
      <c r="AE17" s="3">
        <f>AE14*Inputs!$F$59+IF(AE3&lt;=3,Inputs!$F$60/3,0)</f>
        <v/>
      </c>
      <c r="AF17" s="3">
        <f>AF14*Inputs!$F$59+IF(AF3&lt;=3,Inputs!$F$60/3,0)</f>
        <v/>
      </c>
      <c r="AG17" s="3">
        <f>AG14*Inputs!$F$59+IF(AG3&lt;=3,Inputs!$F$60/3,0)</f>
        <v/>
      </c>
      <c r="AH17" s="3">
        <f>AH14*Inputs!$F$59+IF(AH3&lt;=3,Inputs!$F$60/3,0)</f>
        <v/>
      </c>
      <c r="AI17" s="3">
        <f>AI14*Inputs!$F$59+IF(AI3&lt;=3,Inputs!$F$60/3,0)</f>
        <v/>
      </c>
      <c r="AJ17" s="3">
        <f>AJ14*Inputs!$F$59+IF(AJ3&lt;=3,Inputs!$F$60/3,0)</f>
        <v/>
      </c>
      <c r="AK17" s="3">
        <f>AK14*Inputs!$F$59+IF(AK3&lt;=3,Inputs!$F$60/3,0)</f>
        <v/>
      </c>
      <c r="AL17" s="3">
        <f>AL14*Inputs!$F$59+IF(AL3&lt;=3,Inputs!$F$60/3,0)</f>
        <v/>
      </c>
      <c r="AM17" s="3">
        <f>AM14*Inputs!$F$59+IF(AM3&lt;=3,Inputs!$F$60/3,0)</f>
        <v/>
      </c>
      <c r="AN17" s="3">
        <f>AN14*Inputs!$F$59+IF(AN3&lt;=3,Inputs!$F$60/3,0)</f>
        <v/>
      </c>
      <c r="AO17" s="3">
        <f>AO14*Inputs!$F$59+IF(AO3&lt;=3,Inputs!$F$60/3,0)</f>
        <v/>
      </c>
      <c r="AP17" s="3">
        <f>AP14*Inputs!$F$59+IF(AP3&lt;=3,Inputs!$F$60/3,0)</f>
        <v/>
      </c>
      <c r="AQ17" s="3">
        <f>AQ14*Inputs!$F$59+IF(AQ3&lt;=3,Inputs!$F$60/3,0)</f>
        <v/>
      </c>
      <c r="AR17" s="3">
        <f>AR14*Inputs!$F$59+IF(AR3&lt;=3,Inputs!$F$60/3,0)</f>
        <v/>
      </c>
      <c r="AS17" s="3">
        <f>AS14*Inputs!$F$59+IF(AS3&lt;=3,Inputs!$F$60/3,0)</f>
        <v/>
      </c>
      <c r="AT17" s="3">
        <f>AT14*Inputs!$F$59+IF(AT3&lt;=3,Inputs!$F$60/3,0)</f>
        <v/>
      </c>
      <c r="AU17" s="3">
        <f>AU14*Inputs!$F$59+IF(AU3&lt;=3,Inputs!$F$60/3,0)</f>
        <v/>
      </c>
      <c r="AV17" s="3">
        <f>AV14*Inputs!$F$59+IF(AV3&lt;=3,Inputs!$F$60/3,0)</f>
        <v/>
      </c>
      <c r="AW17" s="3">
        <f>AW14*Inputs!$F$59+IF(AW3&lt;=3,Inputs!$F$60/3,0)</f>
        <v/>
      </c>
      <c r="AX17" s="3">
        <f>AX14*Inputs!$F$59+IF(AX3&lt;=3,Inputs!$F$60/3,0)</f>
        <v/>
      </c>
      <c r="AY17" s="3">
        <f>AY14*Inputs!$F$59+IF(AY3&lt;=3,Inputs!$F$60/3,0)</f>
        <v/>
      </c>
      <c r="AZ17" s="3">
        <f>AZ14*Inputs!$F$59+IF(AZ3&lt;=3,Inputs!$F$60/3,0)</f>
        <v/>
      </c>
      <c r="BA17" s="3">
        <f>BA14*Inputs!$F$59+IF(BA3&lt;=3,Inputs!$F$60/3,0)</f>
        <v/>
      </c>
      <c r="BB17" s="3">
        <f>BB14*Inputs!$F$59+IF(BB3&lt;=3,Inputs!$F$60/3,0)</f>
        <v/>
      </c>
      <c r="BC17" s="3">
        <f>BC14*Inputs!$F$59+IF(BC3&lt;=3,Inputs!$F$60/3,0)</f>
        <v/>
      </c>
      <c r="BD17" s="3">
        <f>BD14*Inputs!$F$59+IF(BD3&lt;=3,Inputs!$F$60/3,0)</f>
        <v/>
      </c>
      <c r="BE17" s="3">
        <f>BE14*Inputs!$F$59+IF(BE3&lt;=3,Inputs!$F$60/3,0)</f>
        <v/>
      </c>
      <c r="BF17" s="3">
        <f>BF14*Inputs!$F$59+IF(BF3&lt;=3,Inputs!$F$60/3,0)</f>
        <v/>
      </c>
      <c r="BG17" s="3">
        <f>BG14*Inputs!$F$59+IF(BG3&lt;=3,Inputs!$F$60/3,0)</f>
        <v/>
      </c>
      <c r="BH17" s="3">
        <f>BH14*Inputs!$F$59+IF(BH3&lt;=3,Inputs!$F$60/3,0)</f>
        <v/>
      </c>
      <c r="BI17" s="3">
        <f>BI14*Inputs!$F$59+IF(BI3&lt;=3,Inputs!$F$60/3,0)</f>
        <v/>
      </c>
      <c r="BJ17" s="3">
        <f>BJ14*Inputs!$F$59+IF(BJ3&lt;=3,Inputs!$F$60/3,0)</f>
        <v/>
      </c>
    </row>
    <row r="18">
      <c r="A18" t="inlineStr">
        <is>
          <t>Repairs &amp; maintenance</t>
        </is>
      </c>
      <c r="C18" s="3">
        <f>C14*Inputs!$F$61</f>
        <v/>
      </c>
      <c r="D18" s="3">
        <f>D14*Inputs!$F$61</f>
        <v/>
      </c>
      <c r="E18" s="3">
        <f>E14*Inputs!$F$61</f>
        <v/>
      </c>
      <c r="F18" s="3">
        <f>F14*Inputs!$F$61</f>
        <v/>
      </c>
      <c r="G18" s="3">
        <f>G14*Inputs!$F$61</f>
        <v/>
      </c>
      <c r="H18" s="3">
        <f>H14*Inputs!$F$61</f>
        <v/>
      </c>
      <c r="I18" s="3">
        <f>I14*Inputs!$F$61</f>
        <v/>
      </c>
      <c r="J18" s="3">
        <f>J14*Inputs!$F$61</f>
        <v/>
      </c>
      <c r="K18" s="3">
        <f>K14*Inputs!$F$61</f>
        <v/>
      </c>
      <c r="L18" s="3">
        <f>L14*Inputs!$F$61</f>
        <v/>
      </c>
      <c r="M18" s="3">
        <f>M14*Inputs!$F$61</f>
        <v/>
      </c>
      <c r="N18" s="3">
        <f>N14*Inputs!$F$61</f>
        <v/>
      </c>
      <c r="O18" s="3">
        <f>O14*Inputs!$F$61</f>
        <v/>
      </c>
      <c r="P18" s="3">
        <f>P14*Inputs!$F$61</f>
        <v/>
      </c>
      <c r="Q18" s="3">
        <f>Q14*Inputs!$F$61</f>
        <v/>
      </c>
      <c r="R18" s="3">
        <f>R14*Inputs!$F$61</f>
        <v/>
      </c>
      <c r="S18" s="3">
        <f>S14*Inputs!$F$61</f>
        <v/>
      </c>
      <c r="T18" s="3">
        <f>T14*Inputs!$F$61</f>
        <v/>
      </c>
      <c r="U18" s="3">
        <f>U14*Inputs!$F$61</f>
        <v/>
      </c>
      <c r="V18" s="3">
        <f>V14*Inputs!$F$61</f>
        <v/>
      </c>
      <c r="W18" s="3">
        <f>W14*Inputs!$F$61</f>
        <v/>
      </c>
      <c r="X18" s="3">
        <f>X14*Inputs!$F$61</f>
        <v/>
      </c>
      <c r="Y18" s="3">
        <f>Y14*Inputs!$F$61</f>
        <v/>
      </c>
      <c r="Z18" s="3">
        <f>Z14*Inputs!$F$61</f>
        <v/>
      </c>
      <c r="AA18" s="3">
        <f>AA14*Inputs!$F$61</f>
        <v/>
      </c>
      <c r="AB18" s="3">
        <f>AB14*Inputs!$F$61</f>
        <v/>
      </c>
      <c r="AC18" s="3">
        <f>AC14*Inputs!$F$61</f>
        <v/>
      </c>
      <c r="AD18" s="3">
        <f>AD14*Inputs!$F$61</f>
        <v/>
      </c>
      <c r="AE18" s="3">
        <f>AE14*Inputs!$F$61</f>
        <v/>
      </c>
      <c r="AF18" s="3">
        <f>AF14*Inputs!$F$61</f>
        <v/>
      </c>
      <c r="AG18" s="3">
        <f>AG14*Inputs!$F$61</f>
        <v/>
      </c>
      <c r="AH18" s="3">
        <f>AH14*Inputs!$F$61</f>
        <v/>
      </c>
      <c r="AI18" s="3">
        <f>AI14*Inputs!$F$61</f>
        <v/>
      </c>
      <c r="AJ18" s="3">
        <f>AJ14*Inputs!$F$61</f>
        <v/>
      </c>
      <c r="AK18" s="3">
        <f>AK14*Inputs!$F$61</f>
        <v/>
      </c>
      <c r="AL18" s="3">
        <f>AL14*Inputs!$F$61</f>
        <v/>
      </c>
      <c r="AM18" s="3">
        <f>AM14*Inputs!$F$61</f>
        <v/>
      </c>
      <c r="AN18" s="3">
        <f>AN14*Inputs!$F$61</f>
        <v/>
      </c>
      <c r="AO18" s="3">
        <f>AO14*Inputs!$F$61</f>
        <v/>
      </c>
      <c r="AP18" s="3">
        <f>AP14*Inputs!$F$61</f>
        <v/>
      </c>
      <c r="AQ18" s="3">
        <f>AQ14*Inputs!$F$61</f>
        <v/>
      </c>
      <c r="AR18" s="3">
        <f>AR14*Inputs!$F$61</f>
        <v/>
      </c>
      <c r="AS18" s="3">
        <f>AS14*Inputs!$F$61</f>
        <v/>
      </c>
      <c r="AT18" s="3">
        <f>AT14*Inputs!$F$61</f>
        <v/>
      </c>
      <c r="AU18" s="3">
        <f>AU14*Inputs!$F$61</f>
        <v/>
      </c>
      <c r="AV18" s="3">
        <f>AV14*Inputs!$F$61</f>
        <v/>
      </c>
      <c r="AW18" s="3">
        <f>AW14*Inputs!$F$61</f>
        <v/>
      </c>
      <c r="AX18" s="3">
        <f>AX14*Inputs!$F$61</f>
        <v/>
      </c>
      <c r="AY18" s="3">
        <f>AY14*Inputs!$F$61</f>
        <v/>
      </c>
      <c r="AZ18" s="3">
        <f>AZ14*Inputs!$F$61</f>
        <v/>
      </c>
      <c r="BA18" s="3">
        <f>BA14*Inputs!$F$61</f>
        <v/>
      </c>
      <c r="BB18" s="3">
        <f>BB14*Inputs!$F$61</f>
        <v/>
      </c>
      <c r="BC18" s="3">
        <f>BC14*Inputs!$F$61</f>
        <v/>
      </c>
      <c r="BD18" s="3">
        <f>BD14*Inputs!$F$61</f>
        <v/>
      </c>
      <c r="BE18" s="3">
        <f>BE14*Inputs!$F$61</f>
        <v/>
      </c>
      <c r="BF18" s="3">
        <f>BF14*Inputs!$F$61</f>
        <v/>
      </c>
      <c r="BG18" s="3">
        <f>BG14*Inputs!$F$61</f>
        <v/>
      </c>
      <c r="BH18" s="3">
        <f>BH14*Inputs!$F$61</f>
        <v/>
      </c>
      <c r="BI18" s="3">
        <f>BI14*Inputs!$F$61</f>
        <v/>
      </c>
      <c r="BJ18" s="3">
        <f>BJ14*Inputs!$F$61</f>
        <v/>
      </c>
    </row>
    <row r="19">
      <c r="A19" t="inlineStr">
        <is>
          <t>Other variable</t>
        </is>
      </c>
      <c r="C19" s="3">
        <f>C14*Inputs!$F$62</f>
        <v/>
      </c>
      <c r="D19" s="3">
        <f>D14*Inputs!$F$62</f>
        <v/>
      </c>
      <c r="E19" s="3">
        <f>E14*Inputs!$F$62</f>
        <v/>
      </c>
      <c r="F19" s="3">
        <f>F14*Inputs!$F$62</f>
        <v/>
      </c>
      <c r="G19" s="3">
        <f>G14*Inputs!$F$62</f>
        <v/>
      </c>
      <c r="H19" s="3">
        <f>H14*Inputs!$F$62</f>
        <v/>
      </c>
      <c r="I19" s="3">
        <f>I14*Inputs!$F$62</f>
        <v/>
      </c>
      <c r="J19" s="3">
        <f>J14*Inputs!$F$62</f>
        <v/>
      </c>
      <c r="K19" s="3">
        <f>K14*Inputs!$F$62</f>
        <v/>
      </c>
      <c r="L19" s="3">
        <f>L14*Inputs!$F$62</f>
        <v/>
      </c>
      <c r="M19" s="3">
        <f>M14*Inputs!$F$62</f>
        <v/>
      </c>
      <c r="N19" s="3">
        <f>N14*Inputs!$F$62</f>
        <v/>
      </c>
      <c r="O19" s="3">
        <f>O14*Inputs!$F$62</f>
        <v/>
      </c>
      <c r="P19" s="3">
        <f>P14*Inputs!$F$62</f>
        <v/>
      </c>
      <c r="Q19" s="3">
        <f>Q14*Inputs!$F$62</f>
        <v/>
      </c>
      <c r="R19" s="3">
        <f>R14*Inputs!$F$62</f>
        <v/>
      </c>
      <c r="S19" s="3">
        <f>S14*Inputs!$F$62</f>
        <v/>
      </c>
      <c r="T19" s="3">
        <f>T14*Inputs!$F$62</f>
        <v/>
      </c>
      <c r="U19" s="3">
        <f>U14*Inputs!$F$62</f>
        <v/>
      </c>
      <c r="V19" s="3">
        <f>V14*Inputs!$F$62</f>
        <v/>
      </c>
      <c r="W19" s="3">
        <f>W14*Inputs!$F$62</f>
        <v/>
      </c>
      <c r="X19" s="3">
        <f>X14*Inputs!$F$62</f>
        <v/>
      </c>
      <c r="Y19" s="3">
        <f>Y14*Inputs!$F$62</f>
        <v/>
      </c>
      <c r="Z19" s="3">
        <f>Z14*Inputs!$F$62</f>
        <v/>
      </c>
      <c r="AA19" s="3">
        <f>AA14*Inputs!$F$62</f>
        <v/>
      </c>
      <c r="AB19" s="3">
        <f>AB14*Inputs!$F$62</f>
        <v/>
      </c>
      <c r="AC19" s="3">
        <f>AC14*Inputs!$F$62</f>
        <v/>
      </c>
      <c r="AD19" s="3">
        <f>AD14*Inputs!$F$62</f>
        <v/>
      </c>
      <c r="AE19" s="3">
        <f>AE14*Inputs!$F$62</f>
        <v/>
      </c>
      <c r="AF19" s="3">
        <f>AF14*Inputs!$F$62</f>
        <v/>
      </c>
      <c r="AG19" s="3">
        <f>AG14*Inputs!$F$62</f>
        <v/>
      </c>
      <c r="AH19" s="3">
        <f>AH14*Inputs!$F$62</f>
        <v/>
      </c>
      <c r="AI19" s="3">
        <f>AI14*Inputs!$F$62</f>
        <v/>
      </c>
      <c r="AJ19" s="3">
        <f>AJ14*Inputs!$F$62</f>
        <v/>
      </c>
      <c r="AK19" s="3">
        <f>AK14*Inputs!$F$62</f>
        <v/>
      </c>
      <c r="AL19" s="3">
        <f>AL14*Inputs!$F$62</f>
        <v/>
      </c>
      <c r="AM19" s="3">
        <f>AM14*Inputs!$F$62</f>
        <v/>
      </c>
      <c r="AN19" s="3">
        <f>AN14*Inputs!$F$62</f>
        <v/>
      </c>
      <c r="AO19" s="3">
        <f>AO14*Inputs!$F$62</f>
        <v/>
      </c>
      <c r="AP19" s="3">
        <f>AP14*Inputs!$F$62</f>
        <v/>
      </c>
      <c r="AQ19" s="3">
        <f>AQ14*Inputs!$F$62</f>
        <v/>
      </c>
      <c r="AR19" s="3">
        <f>AR14*Inputs!$F$62</f>
        <v/>
      </c>
      <c r="AS19" s="3">
        <f>AS14*Inputs!$F$62</f>
        <v/>
      </c>
      <c r="AT19" s="3">
        <f>AT14*Inputs!$F$62</f>
        <v/>
      </c>
      <c r="AU19" s="3">
        <f>AU14*Inputs!$F$62</f>
        <v/>
      </c>
      <c r="AV19" s="3">
        <f>AV14*Inputs!$F$62</f>
        <v/>
      </c>
      <c r="AW19" s="3">
        <f>AW14*Inputs!$F$62</f>
        <v/>
      </c>
      <c r="AX19" s="3">
        <f>AX14*Inputs!$F$62</f>
        <v/>
      </c>
      <c r="AY19" s="3">
        <f>AY14*Inputs!$F$62</f>
        <v/>
      </c>
      <c r="AZ19" s="3">
        <f>AZ14*Inputs!$F$62</f>
        <v/>
      </c>
      <c r="BA19" s="3">
        <f>BA14*Inputs!$F$62</f>
        <v/>
      </c>
      <c r="BB19" s="3">
        <f>BB14*Inputs!$F$62</f>
        <v/>
      </c>
      <c r="BC19" s="3">
        <f>BC14*Inputs!$F$62</f>
        <v/>
      </c>
      <c r="BD19" s="3">
        <f>BD14*Inputs!$F$62</f>
        <v/>
      </c>
      <c r="BE19" s="3">
        <f>BE14*Inputs!$F$62</f>
        <v/>
      </c>
      <c r="BF19" s="3">
        <f>BF14*Inputs!$F$62</f>
        <v/>
      </c>
      <c r="BG19" s="3">
        <f>BG14*Inputs!$F$62</f>
        <v/>
      </c>
      <c r="BH19" s="3">
        <f>BH14*Inputs!$F$62</f>
        <v/>
      </c>
      <c r="BI19" s="3">
        <f>BI14*Inputs!$F$62</f>
        <v/>
      </c>
      <c r="BJ19" s="3">
        <f>BJ14*Inputs!$F$62</f>
        <v/>
      </c>
    </row>
    <row r="20">
      <c r="A20" t="inlineStr">
        <is>
          <t>Utilities</t>
        </is>
      </c>
      <c r="C20" s="3">
        <f>INDEX(Inputs!$D$80:$F$80,1,Inputs!$E$13)*(1+Inputs!$F$70)^(C4-1)+C14*Inputs!$F$63</f>
        <v/>
      </c>
      <c r="D20" s="3">
        <f>INDEX(Inputs!$D$80:$F$80,1,Inputs!$E$13)*(1+Inputs!$F$70)^(D4-1)+D14*Inputs!$F$63</f>
        <v/>
      </c>
      <c r="E20" s="3">
        <f>INDEX(Inputs!$D$80:$F$80,1,Inputs!$E$13)*(1+Inputs!$F$70)^(E4-1)+E14*Inputs!$F$63</f>
        <v/>
      </c>
      <c r="F20" s="3">
        <f>INDEX(Inputs!$D$80:$F$80,1,Inputs!$E$13)*(1+Inputs!$F$70)^(F4-1)+F14*Inputs!$F$63</f>
        <v/>
      </c>
      <c r="G20" s="3">
        <f>INDEX(Inputs!$D$80:$F$80,1,Inputs!$E$13)*(1+Inputs!$F$70)^(G4-1)+G14*Inputs!$F$63</f>
        <v/>
      </c>
      <c r="H20" s="3">
        <f>INDEX(Inputs!$D$80:$F$80,1,Inputs!$E$13)*(1+Inputs!$F$70)^(H4-1)+H14*Inputs!$F$63</f>
        <v/>
      </c>
      <c r="I20" s="3">
        <f>INDEX(Inputs!$D$80:$F$80,1,Inputs!$E$13)*(1+Inputs!$F$70)^(I4-1)+I14*Inputs!$F$63</f>
        <v/>
      </c>
      <c r="J20" s="3">
        <f>INDEX(Inputs!$D$80:$F$80,1,Inputs!$E$13)*(1+Inputs!$F$70)^(J4-1)+J14*Inputs!$F$63</f>
        <v/>
      </c>
      <c r="K20" s="3">
        <f>INDEX(Inputs!$D$80:$F$80,1,Inputs!$E$13)*(1+Inputs!$F$70)^(K4-1)+K14*Inputs!$F$63</f>
        <v/>
      </c>
      <c r="L20" s="3">
        <f>INDEX(Inputs!$D$80:$F$80,1,Inputs!$E$13)*(1+Inputs!$F$70)^(L4-1)+L14*Inputs!$F$63</f>
        <v/>
      </c>
      <c r="M20" s="3">
        <f>INDEX(Inputs!$D$80:$F$80,1,Inputs!$E$13)*(1+Inputs!$F$70)^(M4-1)+M14*Inputs!$F$63</f>
        <v/>
      </c>
      <c r="N20" s="3">
        <f>INDEX(Inputs!$D$80:$F$80,1,Inputs!$E$13)*(1+Inputs!$F$70)^(N4-1)+N14*Inputs!$F$63</f>
        <v/>
      </c>
      <c r="O20" s="3">
        <f>INDEX(Inputs!$D$80:$F$80,1,Inputs!$E$13)*(1+Inputs!$F$70)^(O4-1)+O14*Inputs!$F$63</f>
        <v/>
      </c>
      <c r="P20" s="3">
        <f>INDEX(Inputs!$D$80:$F$80,1,Inputs!$E$13)*(1+Inputs!$F$70)^(P4-1)+P14*Inputs!$F$63</f>
        <v/>
      </c>
      <c r="Q20" s="3">
        <f>INDEX(Inputs!$D$80:$F$80,1,Inputs!$E$13)*(1+Inputs!$F$70)^(Q4-1)+Q14*Inputs!$F$63</f>
        <v/>
      </c>
      <c r="R20" s="3">
        <f>INDEX(Inputs!$D$80:$F$80,1,Inputs!$E$13)*(1+Inputs!$F$70)^(R4-1)+R14*Inputs!$F$63</f>
        <v/>
      </c>
      <c r="S20" s="3">
        <f>INDEX(Inputs!$D$80:$F$80,1,Inputs!$E$13)*(1+Inputs!$F$70)^(S4-1)+S14*Inputs!$F$63</f>
        <v/>
      </c>
      <c r="T20" s="3">
        <f>INDEX(Inputs!$D$80:$F$80,1,Inputs!$E$13)*(1+Inputs!$F$70)^(T4-1)+T14*Inputs!$F$63</f>
        <v/>
      </c>
      <c r="U20" s="3">
        <f>INDEX(Inputs!$D$80:$F$80,1,Inputs!$E$13)*(1+Inputs!$F$70)^(U4-1)+U14*Inputs!$F$63</f>
        <v/>
      </c>
      <c r="V20" s="3">
        <f>INDEX(Inputs!$D$80:$F$80,1,Inputs!$E$13)*(1+Inputs!$F$70)^(V4-1)+V14*Inputs!$F$63</f>
        <v/>
      </c>
      <c r="W20" s="3">
        <f>INDEX(Inputs!$D$80:$F$80,1,Inputs!$E$13)*(1+Inputs!$F$70)^(W4-1)+W14*Inputs!$F$63</f>
        <v/>
      </c>
      <c r="X20" s="3">
        <f>INDEX(Inputs!$D$80:$F$80,1,Inputs!$E$13)*(1+Inputs!$F$70)^(X4-1)+X14*Inputs!$F$63</f>
        <v/>
      </c>
      <c r="Y20" s="3">
        <f>INDEX(Inputs!$D$80:$F$80,1,Inputs!$E$13)*(1+Inputs!$F$70)^(Y4-1)+Y14*Inputs!$F$63</f>
        <v/>
      </c>
      <c r="Z20" s="3">
        <f>INDEX(Inputs!$D$80:$F$80,1,Inputs!$E$13)*(1+Inputs!$F$70)^(Z4-1)+Z14*Inputs!$F$63</f>
        <v/>
      </c>
      <c r="AA20" s="3">
        <f>INDEX(Inputs!$D$80:$F$80,1,Inputs!$E$13)*(1+Inputs!$F$70)^(AA4-1)+AA14*Inputs!$F$63</f>
        <v/>
      </c>
      <c r="AB20" s="3">
        <f>INDEX(Inputs!$D$80:$F$80,1,Inputs!$E$13)*(1+Inputs!$F$70)^(AB4-1)+AB14*Inputs!$F$63</f>
        <v/>
      </c>
      <c r="AC20" s="3">
        <f>INDEX(Inputs!$D$80:$F$80,1,Inputs!$E$13)*(1+Inputs!$F$70)^(AC4-1)+AC14*Inputs!$F$63</f>
        <v/>
      </c>
      <c r="AD20" s="3">
        <f>INDEX(Inputs!$D$80:$F$80,1,Inputs!$E$13)*(1+Inputs!$F$70)^(AD4-1)+AD14*Inputs!$F$63</f>
        <v/>
      </c>
      <c r="AE20" s="3">
        <f>INDEX(Inputs!$D$80:$F$80,1,Inputs!$E$13)*(1+Inputs!$F$70)^(AE4-1)+AE14*Inputs!$F$63</f>
        <v/>
      </c>
      <c r="AF20" s="3">
        <f>INDEX(Inputs!$D$80:$F$80,1,Inputs!$E$13)*(1+Inputs!$F$70)^(AF4-1)+AF14*Inputs!$F$63</f>
        <v/>
      </c>
      <c r="AG20" s="3">
        <f>INDEX(Inputs!$D$80:$F$80,1,Inputs!$E$13)*(1+Inputs!$F$70)^(AG4-1)+AG14*Inputs!$F$63</f>
        <v/>
      </c>
      <c r="AH20" s="3">
        <f>INDEX(Inputs!$D$80:$F$80,1,Inputs!$E$13)*(1+Inputs!$F$70)^(AH4-1)+AH14*Inputs!$F$63</f>
        <v/>
      </c>
      <c r="AI20" s="3">
        <f>INDEX(Inputs!$D$80:$F$80,1,Inputs!$E$13)*(1+Inputs!$F$70)^(AI4-1)+AI14*Inputs!$F$63</f>
        <v/>
      </c>
      <c r="AJ20" s="3">
        <f>INDEX(Inputs!$D$80:$F$80,1,Inputs!$E$13)*(1+Inputs!$F$70)^(AJ4-1)+AJ14*Inputs!$F$63</f>
        <v/>
      </c>
      <c r="AK20" s="3">
        <f>INDEX(Inputs!$D$80:$F$80,1,Inputs!$E$13)*(1+Inputs!$F$70)^(AK4-1)+AK14*Inputs!$F$63</f>
        <v/>
      </c>
      <c r="AL20" s="3">
        <f>INDEX(Inputs!$D$80:$F$80,1,Inputs!$E$13)*(1+Inputs!$F$70)^(AL4-1)+AL14*Inputs!$F$63</f>
        <v/>
      </c>
      <c r="AM20" s="3">
        <f>INDEX(Inputs!$D$80:$F$80,1,Inputs!$E$13)*(1+Inputs!$F$70)^(AM4-1)+AM14*Inputs!$F$63</f>
        <v/>
      </c>
      <c r="AN20" s="3">
        <f>INDEX(Inputs!$D$80:$F$80,1,Inputs!$E$13)*(1+Inputs!$F$70)^(AN4-1)+AN14*Inputs!$F$63</f>
        <v/>
      </c>
      <c r="AO20" s="3">
        <f>INDEX(Inputs!$D$80:$F$80,1,Inputs!$E$13)*(1+Inputs!$F$70)^(AO4-1)+AO14*Inputs!$F$63</f>
        <v/>
      </c>
      <c r="AP20" s="3">
        <f>INDEX(Inputs!$D$80:$F$80,1,Inputs!$E$13)*(1+Inputs!$F$70)^(AP4-1)+AP14*Inputs!$F$63</f>
        <v/>
      </c>
      <c r="AQ20" s="3">
        <f>INDEX(Inputs!$D$80:$F$80,1,Inputs!$E$13)*(1+Inputs!$F$70)^(AQ4-1)+AQ14*Inputs!$F$63</f>
        <v/>
      </c>
      <c r="AR20" s="3">
        <f>INDEX(Inputs!$D$80:$F$80,1,Inputs!$E$13)*(1+Inputs!$F$70)^(AR4-1)+AR14*Inputs!$F$63</f>
        <v/>
      </c>
      <c r="AS20" s="3">
        <f>INDEX(Inputs!$D$80:$F$80,1,Inputs!$E$13)*(1+Inputs!$F$70)^(AS4-1)+AS14*Inputs!$F$63</f>
        <v/>
      </c>
      <c r="AT20" s="3">
        <f>INDEX(Inputs!$D$80:$F$80,1,Inputs!$E$13)*(1+Inputs!$F$70)^(AT4-1)+AT14*Inputs!$F$63</f>
        <v/>
      </c>
      <c r="AU20" s="3">
        <f>INDEX(Inputs!$D$80:$F$80,1,Inputs!$E$13)*(1+Inputs!$F$70)^(AU4-1)+AU14*Inputs!$F$63</f>
        <v/>
      </c>
      <c r="AV20" s="3">
        <f>INDEX(Inputs!$D$80:$F$80,1,Inputs!$E$13)*(1+Inputs!$F$70)^(AV4-1)+AV14*Inputs!$F$63</f>
        <v/>
      </c>
      <c r="AW20" s="3">
        <f>INDEX(Inputs!$D$80:$F$80,1,Inputs!$E$13)*(1+Inputs!$F$70)^(AW4-1)+AW14*Inputs!$F$63</f>
        <v/>
      </c>
      <c r="AX20" s="3">
        <f>INDEX(Inputs!$D$80:$F$80,1,Inputs!$E$13)*(1+Inputs!$F$70)^(AX4-1)+AX14*Inputs!$F$63</f>
        <v/>
      </c>
      <c r="AY20" s="3">
        <f>INDEX(Inputs!$D$80:$F$80,1,Inputs!$E$13)*(1+Inputs!$F$70)^(AY4-1)+AY14*Inputs!$F$63</f>
        <v/>
      </c>
      <c r="AZ20" s="3">
        <f>INDEX(Inputs!$D$80:$F$80,1,Inputs!$E$13)*(1+Inputs!$F$70)^(AZ4-1)+AZ14*Inputs!$F$63</f>
        <v/>
      </c>
      <c r="BA20" s="3">
        <f>INDEX(Inputs!$D$80:$F$80,1,Inputs!$E$13)*(1+Inputs!$F$70)^(BA4-1)+BA14*Inputs!$F$63</f>
        <v/>
      </c>
      <c r="BB20" s="3">
        <f>INDEX(Inputs!$D$80:$F$80,1,Inputs!$E$13)*(1+Inputs!$F$70)^(BB4-1)+BB14*Inputs!$F$63</f>
        <v/>
      </c>
      <c r="BC20" s="3">
        <f>INDEX(Inputs!$D$80:$F$80,1,Inputs!$E$13)*(1+Inputs!$F$70)^(BC4-1)+BC14*Inputs!$F$63</f>
        <v/>
      </c>
      <c r="BD20" s="3">
        <f>INDEX(Inputs!$D$80:$F$80,1,Inputs!$E$13)*(1+Inputs!$F$70)^(BD4-1)+BD14*Inputs!$F$63</f>
        <v/>
      </c>
      <c r="BE20" s="3">
        <f>INDEX(Inputs!$D$80:$F$80,1,Inputs!$E$13)*(1+Inputs!$F$70)^(BE4-1)+BE14*Inputs!$F$63</f>
        <v/>
      </c>
      <c r="BF20" s="3">
        <f>INDEX(Inputs!$D$80:$F$80,1,Inputs!$E$13)*(1+Inputs!$F$70)^(BF4-1)+BF14*Inputs!$F$63</f>
        <v/>
      </c>
      <c r="BG20" s="3">
        <f>INDEX(Inputs!$D$80:$F$80,1,Inputs!$E$13)*(1+Inputs!$F$70)^(BG4-1)+BG14*Inputs!$F$63</f>
        <v/>
      </c>
      <c r="BH20" s="3">
        <f>INDEX(Inputs!$D$80:$F$80,1,Inputs!$E$13)*(1+Inputs!$F$70)^(BH4-1)+BH14*Inputs!$F$63</f>
        <v/>
      </c>
      <c r="BI20" s="3">
        <f>INDEX(Inputs!$D$80:$F$80,1,Inputs!$E$13)*(1+Inputs!$F$70)^(BI4-1)+BI14*Inputs!$F$63</f>
        <v/>
      </c>
      <c r="BJ20" s="3">
        <f>INDEX(Inputs!$D$80:$F$80,1,Inputs!$E$13)*(1+Inputs!$F$70)^(BJ4-1)+BJ14*Inputs!$F$63</f>
        <v/>
      </c>
    </row>
    <row r="21">
      <c r="A21" t="inlineStr">
        <is>
          <t>Peak-season flag</t>
        </is>
      </c>
      <c r="C21" s="7">
        <f>IF(C7&gt;=Inputs!$F$69,1,0)</f>
        <v/>
      </c>
      <c r="D21" s="7">
        <f>IF(D7&gt;=Inputs!$F$69,1,0)</f>
        <v/>
      </c>
      <c r="E21" s="7">
        <f>IF(E7&gt;=Inputs!$F$69,1,0)</f>
        <v/>
      </c>
      <c r="F21" s="7">
        <f>IF(F7&gt;=Inputs!$F$69,1,0)</f>
        <v/>
      </c>
      <c r="G21" s="7">
        <f>IF(G7&gt;=Inputs!$F$69,1,0)</f>
        <v/>
      </c>
      <c r="H21" s="7">
        <f>IF(H7&gt;=Inputs!$F$69,1,0)</f>
        <v/>
      </c>
      <c r="I21" s="7">
        <f>IF(I7&gt;=Inputs!$F$69,1,0)</f>
        <v/>
      </c>
      <c r="J21" s="7">
        <f>IF(J7&gt;=Inputs!$F$69,1,0)</f>
        <v/>
      </c>
      <c r="K21" s="7">
        <f>IF(K7&gt;=Inputs!$F$69,1,0)</f>
        <v/>
      </c>
      <c r="L21" s="7">
        <f>IF(L7&gt;=Inputs!$F$69,1,0)</f>
        <v/>
      </c>
      <c r="M21" s="7">
        <f>IF(M7&gt;=Inputs!$F$69,1,0)</f>
        <v/>
      </c>
      <c r="N21" s="7">
        <f>IF(N7&gt;=Inputs!$F$69,1,0)</f>
        <v/>
      </c>
      <c r="O21" s="7">
        <f>IF(O7&gt;=Inputs!$F$69,1,0)</f>
        <v/>
      </c>
      <c r="P21" s="7">
        <f>IF(P7&gt;=Inputs!$F$69,1,0)</f>
        <v/>
      </c>
      <c r="Q21" s="7">
        <f>IF(Q7&gt;=Inputs!$F$69,1,0)</f>
        <v/>
      </c>
      <c r="R21" s="7">
        <f>IF(R7&gt;=Inputs!$F$69,1,0)</f>
        <v/>
      </c>
      <c r="S21" s="7">
        <f>IF(S7&gt;=Inputs!$F$69,1,0)</f>
        <v/>
      </c>
      <c r="T21" s="7">
        <f>IF(T7&gt;=Inputs!$F$69,1,0)</f>
        <v/>
      </c>
      <c r="U21" s="7">
        <f>IF(U7&gt;=Inputs!$F$69,1,0)</f>
        <v/>
      </c>
      <c r="V21" s="7">
        <f>IF(V7&gt;=Inputs!$F$69,1,0)</f>
        <v/>
      </c>
      <c r="W21" s="7">
        <f>IF(W7&gt;=Inputs!$F$69,1,0)</f>
        <v/>
      </c>
      <c r="X21" s="7">
        <f>IF(X7&gt;=Inputs!$F$69,1,0)</f>
        <v/>
      </c>
      <c r="Y21" s="7">
        <f>IF(Y7&gt;=Inputs!$F$69,1,0)</f>
        <v/>
      </c>
      <c r="Z21" s="7">
        <f>IF(Z7&gt;=Inputs!$F$69,1,0)</f>
        <v/>
      </c>
      <c r="AA21" s="7">
        <f>IF(AA7&gt;=Inputs!$F$69,1,0)</f>
        <v/>
      </c>
      <c r="AB21" s="7">
        <f>IF(AB7&gt;=Inputs!$F$69,1,0)</f>
        <v/>
      </c>
      <c r="AC21" s="7">
        <f>IF(AC7&gt;=Inputs!$F$69,1,0)</f>
        <v/>
      </c>
      <c r="AD21" s="7">
        <f>IF(AD7&gt;=Inputs!$F$69,1,0)</f>
        <v/>
      </c>
      <c r="AE21" s="7">
        <f>IF(AE7&gt;=Inputs!$F$69,1,0)</f>
        <v/>
      </c>
      <c r="AF21" s="7">
        <f>IF(AF7&gt;=Inputs!$F$69,1,0)</f>
        <v/>
      </c>
      <c r="AG21" s="7">
        <f>IF(AG7&gt;=Inputs!$F$69,1,0)</f>
        <v/>
      </c>
      <c r="AH21" s="7">
        <f>IF(AH7&gt;=Inputs!$F$69,1,0)</f>
        <v/>
      </c>
      <c r="AI21" s="7">
        <f>IF(AI7&gt;=Inputs!$F$69,1,0)</f>
        <v/>
      </c>
      <c r="AJ21" s="7">
        <f>IF(AJ7&gt;=Inputs!$F$69,1,0)</f>
        <v/>
      </c>
      <c r="AK21" s="7">
        <f>IF(AK7&gt;=Inputs!$F$69,1,0)</f>
        <v/>
      </c>
      <c r="AL21" s="7">
        <f>IF(AL7&gt;=Inputs!$F$69,1,0)</f>
        <v/>
      </c>
      <c r="AM21" s="7">
        <f>IF(AM7&gt;=Inputs!$F$69,1,0)</f>
        <v/>
      </c>
      <c r="AN21" s="7">
        <f>IF(AN7&gt;=Inputs!$F$69,1,0)</f>
        <v/>
      </c>
      <c r="AO21" s="7">
        <f>IF(AO7&gt;=Inputs!$F$69,1,0)</f>
        <v/>
      </c>
      <c r="AP21" s="7">
        <f>IF(AP7&gt;=Inputs!$F$69,1,0)</f>
        <v/>
      </c>
      <c r="AQ21" s="7">
        <f>IF(AQ7&gt;=Inputs!$F$69,1,0)</f>
        <v/>
      </c>
      <c r="AR21" s="7">
        <f>IF(AR7&gt;=Inputs!$F$69,1,0)</f>
        <v/>
      </c>
      <c r="AS21" s="7">
        <f>IF(AS7&gt;=Inputs!$F$69,1,0)</f>
        <v/>
      </c>
      <c r="AT21" s="7">
        <f>IF(AT7&gt;=Inputs!$F$69,1,0)</f>
        <v/>
      </c>
      <c r="AU21" s="7">
        <f>IF(AU7&gt;=Inputs!$F$69,1,0)</f>
        <v/>
      </c>
      <c r="AV21" s="7">
        <f>IF(AV7&gt;=Inputs!$F$69,1,0)</f>
        <v/>
      </c>
      <c r="AW21" s="7">
        <f>IF(AW7&gt;=Inputs!$F$69,1,0)</f>
        <v/>
      </c>
      <c r="AX21" s="7">
        <f>IF(AX7&gt;=Inputs!$F$69,1,0)</f>
        <v/>
      </c>
      <c r="AY21" s="7">
        <f>IF(AY7&gt;=Inputs!$F$69,1,0)</f>
        <v/>
      </c>
      <c r="AZ21" s="7">
        <f>IF(AZ7&gt;=Inputs!$F$69,1,0)</f>
        <v/>
      </c>
      <c r="BA21" s="7">
        <f>IF(BA7&gt;=Inputs!$F$69,1,0)</f>
        <v/>
      </c>
      <c r="BB21" s="7">
        <f>IF(BB7&gt;=Inputs!$F$69,1,0)</f>
        <v/>
      </c>
      <c r="BC21" s="7">
        <f>IF(BC7&gt;=Inputs!$F$69,1,0)</f>
        <v/>
      </c>
      <c r="BD21" s="7">
        <f>IF(BD7&gt;=Inputs!$F$69,1,0)</f>
        <v/>
      </c>
      <c r="BE21" s="7">
        <f>IF(BE7&gt;=Inputs!$F$69,1,0)</f>
        <v/>
      </c>
      <c r="BF21" s="7">
        <f>IF(BF7&gt;=Inputs!$F$69,1,0)</f>
        <v/>
      </c>
      <c r="BG21" s="7">
        <f>IF(BG7&gt;=Inputs!$F$69,1,0)</f>
        <v/>
      </c>
      <c r="BH21" s="7">
        <f>IF(BH7&gt;=Inputs!$F$69,1,0)</f>
        <v/>
      </c>
      <c r="BI21" s="7">
        <f>IF(BI7&gt;=Inputs!$F$69,1,0)</f>
        <v/>
      </c>
      <c r="BJ21" s="7">
        <f>IF(BJ7&gt;=Inputs!$F$69,1,0)</f>
        <v/>
      </c>
    </row>
    <row r="22">
      <c r="A22" t="inlineStr">
        <is>
          <t>FTE</t>
        </is>
      </c>
      <c r="C22" s="24">
        <f>INDEX(Inputs!$D$76:$F$76,1,Inputs!$E$13)+C21*INDEX(Inputs!$D$77:$F$77,1,Inputs!$E$13)</f>
        <v/>
      </c>
      <c r="D22" s="24">
        <f>INDEX(Inputs!$D$76:$F$76,1,Inputs!$E$13)+D21*INDEX(Inputs!$D$77:$F$77,1,Inputs!$E$13)</f>
        <v/>
      </c>
      <c r="E22" s="24">
        <f>INDEX(Inputs!$D$76:$F$76,1,Inputs!$E$13)+E21*INDEX(Inputs!$D$77:$F$77,1,Inputs!$E$13)</f>
        <v/>
      </c>
      <c r="F22" s="24">
        <f>INDEX(Inputs!$D$76:$F$76,1,Inputs!$E$13)+F21*INDEX(Inputs!$D$77:$F$77,1,Inputs!$E$13)</f>
        <v/>
      </c>
      <c r="G22" s="24">
        <f>INDEX(Inputs!$D$76:$F$76,1,Inputs!$E$13)+G21*INDEX(Inputs!$D$77:$F$77,1,Inputs!$E$13)</f>
        <v/>
      </c>
      <c r="H22" s="24">
        <f>INDEX(Inputs!$D$76:$F$76,1,Inputs!$E$13)+H21*INDEX(Inputs!$D$77:$F$77,1,Inputs!$E$13)</f>
        <v/>
      </c>
      <c r="I22" s="24">
        <f>INDEX(Inputs!$D$76:$F$76,1,Inputs!$E$13)+I21*INDEX(Inputs!$D$77:$F$77,1,Inputs!$E$13)</f>
        <v/>
      </c>
      <c r="J22" s="24">
        <f>INDEX(Inputs!$D$76:$F$76,1,Inputs!$E$13)+J21*INDEX(Inputs!$D$77:$F$77,1,Inputs!$E$13)</f>
        <v/>
      </c>
      <c r="K22" s="24">
        <f>INDEX(Inputs!$D$76:$F$76,1,Inputs!$E$13)+K21*INDEX(Inputs!$D$77:$F$77,1,Inputs!$E$13)</f>
        <v/>
      </c>
      <c r="L22" s="24">
        <f>INDEX(Inputs!$D$76:$F$76,1,Inputs!$E$13)+L21*INDEX(Inputs!$D$77:$F$77,1,Inputs!$E$13)</f>
        <v/>
      </c>
      <c r="M22" s="24">
        <f>INDEX(Inputs!$D$76:$F$76,1,Inputs!$E$13)+M21*INDEX(Inputs!$D$77:$F$77,1,Inputs!$E$13)</f>
        <v/>
      </c>
      <c r="N22" s="24">
        <f>INDEX(Inputs!$D$76:$F$76,1,Inputs!$E$13)+N21*INDEX(Inputs!$D$77:$F$77,1,Inputs!$E$13)</f>
        <v/>
      </c>
      <c r="O22" s="24">
        <f>INDEX(Inputs!$D$76:$F$76,1,Inputs!$E$13)+O21*INDEX(Inputs!$D$77:$F$77,1,Inputs!$E$13)</f>
        <v/>
      </c>
      <c r="P22" s="24">
        <f>INDEX(Inputs!$D$76:$F$76,1,Inputs!$E$13)+P21*INDEX(Inputs!$D$77:$F$77,1,Inputs!$E$13)</f>
        <v/>
      </c>
      <c r="Q22" s="24">
        <f>INDEX(Inputs!$D$76:$F$76,1,Inputs!$E$13)+Q21*INDEX(Inputs!$D$77:$F$77,1,Inputs!$E$13)</f>
        <v/>
      </c>
      <c r="R22" s="24">
        <f>INDEX(Inputs!$D$76:$F$76,1,Inputs!$E$13)+R21*INDEX(Inputs!$D$77:$F$77,1,Inputs!$E$13)</f>
        <v/>
      </c>
      <c r="S22" s="24">
        <f>INDEX(Inputs!$D$76:$F$76,1,Inputs!$E$13)+S21*INDEX(Inputs!$D$77:$F$77,1,Inputs!$E$13)</f>
        <v/>
      </c>
      <c r="T22" s="24">
        <f>INDEX(Inputs!$D$76:$F$76,1,Inputs!$E$13)+T21*INDEX(Inputs!$D$77:$F$77,1,Inputs!$E$13)</f>
        <v/>
      </c>
      <c r="U22" s="24">
        <f>INDEX(Inputs!$D$76:$F$76,1,Inputs!$E$13)+U21*INDEX(Inputs!$D$77:$F$77,1,Inputs!$E$13)</f>
        <v/>
      </c>
      <c r="V22" s="24">
        <f>INDEX(Inputs!$D$76:$F$76,1,Inputs!$E$13)+V21*INDEX(Inputs!$D$77:$F$77,1,Inputs!$E$13)</f>
        <v/>
      </c>
      <c r="W22" s="24">
        <f>INDEX(Inputs!$D$76:$F$76,1,Inputs!$E$13)+W21*INDEX(Inputs!$D$77:$F$77,1,Inputs!$E$13)</f>
        <v/>
      </c>
      <c r="X22" s="24">
        <f>INDEX(Inputs!$D$76:$F$76,1,Inputs!$E$13)+X21*INDEX(Inputs!$D$77:$F$77,1,Inputs!$E$13)</f>
        <v/>
      </c>
      <c r="Y22" s="24">
        <f>INDEX(Inputs!$D$76:$F$76,1,Inputs!$E$13)+Y21*INDEX(Inputs!$D$77:$F$77,1,Inputs!$E$13)</f>
        <v/>
      </c>
      <c r="Z22" s="24">
        <f>INDEX(Inputs!$D$76:$F$76,1,Inputs!$E$13)+Z21*INDEX(Inputs!$D$77:$F$77,1,Inputs!$E$13)</f>
        <v/>
      </c>
      <c r="AA22" s="24">
        <f>INDEX(Inputs!$D$76:$F$76,1,Inputs!$E$13)+AA21*INDEX(Inputs!$D$77:$F$77,1,Inputs!$E$13)</f>
        <v/>
      </c>
      <c r="AB22" s="24">
        <f>INDEX(Inputs!$D$76:$F$76,1,Inputs!$E$13)+AB21*INDEX(Inputs!$D$77:$F$77,1,Inputs!$E$13)</f>
        <v/>
      </c>
      <c r="AC22" s="24">
        <f>INDEX(Inputs!$D$76:$F$76,1,Inputs!$E$13)+AC21*INDEX(Inputs!$D$77:$F$77,1,Inputs!$E$13)</f>
        <v/>
      </c>
      <c r="AD22" s="24">
        <f>INDEX(Inputs!$D$76:$F$76,1,Inputs!$E$13)+AD21*INDEX(Inputs!$D$77:$F$77,1,Inputs!$E$13)</f>
        <v/>
      </c>
      <c r="AE22" s="24">
        <f>INDEX(Inputs!$D$76:$F$76,1,Inputs!$E$13)+AE21*INDEX(Inputs!$D$77:$F$77,1,Inputs!$E$13)</f>
        <v/>
      </c>
      <c r="AF22" s="24">
        <f>INDEX(Inputs!$D$76:$F$76,1,Inputs!$E$13)+AF21*INDEX(Inputs!$D$77:$F$77,1,Inputs!$E$13)</f>
        <v/>
      </c>
      <c r="AG22" s="24">
        <f>INDEX(Inputs!$D$76:$F$76,1,Inputs!$E$13)+AG21*INDEX(Inputs!$D$77:$F$77,1,Inputs!$E$13)</f>
        <v/>
      </c>
      <c r="AH22" s="24">
        <f>INDEX(Inputs!$D$76:$F$76,1,Inputs!$E$13)+AH21*INDEX(Inputs!$D$77:$F$77,1,Inputs!$E$13)</f>
        <v/>
      </c>
      <c r="AI22" s="24">
        <f>INDEX(Inputs!$D$76:$F$76,1,Inputs!$E$13)+AI21*INDEX(Inputs!$D$77:$F$77,1,Inputs!$E$13)</f>
        <v/>
      </c>
      <c r="AJ22" s="24">
        <f>INDEX(Inputs!$D$76:$F$76,1,Inputs!$E$13)+AJ21*INDEX(Inputs!$D$77:$F$77,1,Inputs!$E$13)</f>
        <v/>
      </c>
      <c r="AK22" s="24">
        <f>INDEX(Inputs!$D$76:$F$76,1,Inputs!$E$13)+AK21*INDEX(Inputs!$D$77:$F$77,1,Inputs!$E$13)</f>
        <v/>
      </c>
      <c r="AL22" s="24">
        <f>INDEX(Inputs!$D$76:$F$76,1,Inputs!$E$13)+AL21*INDEX(Inputs!$D$77:$F$77,1,Inputs!$E$13)</f>
        <v/>
      </c>
      <c r="AM22" s="24">
        <f>INDEX(Inputs!$D$76:$F$76,1,Inputs!$E$13)+AM21*INDEX(Inputs!$D$77:$F$77,1,Inputs!$E$13)</f>
        <v/>
      </c>
      <c r="AN22" s="24">
        <f>INDEX(Inputs!$D$76:$F$76,1,Inputs!$E$13)+AN21*INDEX(Inputs!$D$77:$F$77,1,Inputs!$E$13)</f>
        <v/>
      </c>
      <c r="AO22" s="24">
        <f>INDEX(Inputs!$D$76:$F$76,1,Inputs!$E$13)+AO21*INDEX(Inputs!$D$77:$F$77,1,Inputs!$E$13)</f>
        <v/>
      </c>
      <c r="AP22" s="24">
        <f>INDEX(Inputs!$D$76:$F$76,1,Inputs!$E$13)+AP21*INDEX(Inputs!$D$77:$F$77,1,Inputs!$E$13)</f>
        <v/>
      </c>
      <c r="AQ22" s="24">
        <f>INDEX(Inputs!$D$76:$F$76,1,Inputs!$E$13)+AQ21*INDEX(Inputs!$D$77:$F$77,1,Inputs!$E$13)</f>
        <v/>
      </c>
      <c r="AR22" s="24">
        <f>INDEX(Inputs!$D$76:$F$76,1,Inputs!$E$13)+AR21*INDEX(Inputs!$D$77:$F$77,1,Inputs!$E$13)</f>
        <v/>
      </c>
      <c r="AS22" s="24">
        <f>INDEX(Inputs!$D$76:$F$76,1,Inputs!$E$13)+AS21*INDEX(Inputs!$D$77:$F$77,1,Inputs!$E$13)</f>
        <v/>
      </c>
      <c r="AT22" s="24">
        <f>INDEX(Inputs!$D$76:$F$76,1,Inputs!$E$13)+AT21*INDEX(Inputs!$D$77:$F$77,1,Inputs!$E$13)</f>
        <v/>
      </c>
      <c r="AU22" s="24">
        <f>INDEX(Inputs!$D$76:$F$76,1,Inputs!$E$13)+AU21*INDEX(Inputs!$D$77:$F$77,1,Inputs!$E$13)</f>
        <v/>
      </c>
      <c r="AV22" s="24">
        <f>INDEX(Inputs!$D$76:$F$76,1,Inputs!$E$13)+AV21*INDEX(Inputs!$D$77:$F$77,1,Inputs!$E$13)</f>
        <v/>
      </c>
      <c r="AW22" s="24">
        <f>INDEX(Inputs!$D$76:$F$76,1,Inputs!$E$13)+AW21*INDEX(Inputs!$D$77:$F$77,1,Inputs!$E$13)</f>
        <v/>
      </c>
      <c r="AX22" s="24">
        <f>INDEX(Inputs!$D$76:$F$76,1,Inputs!$E$13)+AX21*INDEX(Inputs!$D$77:$F$77,1,Inputs!$E$13)</f>
        <v/>
      </c>
      <c r="AY22" s="24">
        <f>INDEX(Inputs!$D$76:$F$76,1,Inputs!$E$13)+AY21*INDEX(Inputs!$D$77:$F$77,1,Inputs!$E$13)</f>
        <v/>
      </c>
      <c r="AZ22" s="24">
        <f>INDEX(Inputs!$D$76:$F$76,1,Inputs!$E$13)+AZ21*INDEX(Inputs!$D$77:$F$77,1,Inputs!$E$13)</f>
        <v/>
      </c>
      <c r="BA22" s="24">
        <f>INDEX(Inputs!$D$76:$F$76,1,Inputs!$E$13)+BA21*INDEX(Inputs!$D$77:$F$77,1,Inputs!$E$13)</f>
        <v/>
      </c>
      <c r="BB22" s="24">
        <f>INDEX(Inputs!$D$76:$F$76,1,Inputs!$E$13)+BB21*INDEX(Inputs!$D$77:$F$77,1,Inputs!$E$13)</f>
        <v/>
      </c>
      <c r="BC22" s="24">
        <f>INDEX(Inputs!$D$76:$F$76,1,Inputs!$E$13)+BC21*INDEX(Inputs!$D$77:$F$77,1,Inputs!$E$13)</f>
        <v/>
      </c>
      <c r="BD22" s="24">
        <f>INDEX(Inputs!$D$76:$F$76,1,Inputs!$E$13)+BD21*INDEX(Inputs!$D$77:$F$77,1,Inputs!$E$13)</f>
        <v/>
      </c>
      <c r="BE22" s="24">
        <f>INDEX(Inputs!$D$76:$F$76,1,Inputs!$E$13)+BE21*INDEX(Inputs!$D$77:$F$77,1,Inputs!$E$13)</f>
        <v/>
      </c>
      <c r="BF22" s="24">
        <f>INDEX(Inputs!$D$76:$F$76,1,Inputs!$E$13)+BF21*INDEX(Inputs!$D$77:$F$77,1,Inputs!$E$13)</f>
        <v/>
      </c>
      <c r="BG22" s="24">
        <f>INDEX(Inputs!$D$76:$F$76,1,Inputs!$E$13)+BG21*INDEX(Inputs!$D$77:$F$77,1,Inputs!$E$13)</f>
        <v/>
      </c>
      <c r="BH22" s="24">
        <f>INDEX(Inputs!$D$76:$F$76,1,Inputs!$E$13)+BH21*INDEX(Inputs!$D$77:$F$77,1,Inputs!$E$13)</f>
        <v/>
      </c>
      <c r="BI22" s="24">
        <f>INDEX(Inputs!$D$76:$F$76,1,Inputs!$E$13)+BI21*INDEX(Inputs!$D$77:$F$77,1,Inputs!$E$13)</f>
        <v/>
      </c>
      <c r="BJ22" s="24">
        <f>INDEX(Inputs!$D$76:$F$76,1,Inputs!$E$13)+BJ21*INDEX(Inputs!$D$77:$F$77,1,Inputs!$E$13)</f>
        <v/>
      </c>
    </row>
    <row r="23">
      <c r="A23" t="inlineStr">
        <is>
          <t>Labour</t>
        </is>
      </c>
      <c r="C23" s="3">
        <f>(C22*INDEX(Inputs!$D$78:$F$78,1,Inputs!$E$13)+INDEX(Inputs!$D$79:$F$79,1,Inputs!$E$13))*(1+Inputs!$F$71)^(C4-1)*(1+Inputs!$F$67)+C22*Inputs!$F$68</f>
        <v/>
      </c>
      <c r="D23" s="3">
        <f>(D22*INDEX(Inputs!$D$78:$F$78,1,Inputs!$E$13)+INDEX(Inputs!$D$79:$F$79,1,Inputs!$E$13))*(1+Inputs!$F$71)^(D4-1)*(1+Inputs!$F$67)+D22*Inputs!$F$68</f>
        <v/>
      </c>
      <c r="E23" s="3">
        <f>(E22*INDEX(Inputs!$D$78:$F$78,1,Inputs!$E$13)+INDEX(Inputs!$D$79:$F$79,1,Inputs!$E$13))*(1+Inputs!$F$71)^(E4-1)*(1+Inputs!$F$67)+E22*Inputs!$F$68</f>
        <v/>
      </c>
      <c r="F23" s="3">
        <f>(F22*INDEX(Inputs!$D$78:$F$78,1,Inputs!$E$13)+INDEX(Inputs!$D$79:$F$79,1,Inputs!$E$13))*(1+Inputs!$F$71)^(F4-1)*(1+Inputs!$F$67)+F22*Inputs!$F$68</f>
        <v/>
      </c>
      <c r="G23" s="3">
        <f>(G22*INDEX(Inputs!$D$78:$F$78,1,Inputs!$E$13)+INDEX(Inputs!$D$79:$F$79,1,Inputs!$E$13))*(1+Inputs!$F$71)^(G4-1)*(1+Inputs!$F$67)+G22*Inputs!$F$68</f>
        <v/>
      </c>
      <c r="H23" s="3">
        <f>(H22*INDEX(Inputs!$D$78:$F$78,1,Inputs!$E$13)+INDEX(Inputs!$D$79:$F$79,1,Inputs!$E$13))*(1+Inputs!$F$71)^(H4-1)*(1+Inputs!$F$67)+H22*Inputs!$F$68</f>
        <v/>
      </c>
      <c r="I23" s="3">
        <f>(I22*INDEX(Inputs!$D$78:$F$78,1,Inputs!$E$13)+INDEX(Inputs!$D$79:$F$79,1,Inputs!$E$13))*(1+Inputs!$F$71)^(I4-1)*(1+Inputs!$F$67)+I22*Inputs!$F$68</f>
        <v/>
      </c>
      <c r="J23" s="3">
        <f>(J22*INDEX(Inputs!$D$78:$F$78,1,Inputs!$E$13)+INDEX(Inputs!$D$79:$F$79,1,Inputs!$E$13))*(1+Inputs!$F$71)^(J4-1)*(1+Inputs!$F$67)+J22*Inputs!$F$68</f>
        <v/>
      </c>
      <c r="K23" s="3">
        <f>(K22*INDEX(Inputs!$D$78:$F$78,1,Inputs!$E$13)+INDEX(Inputs!$D$79:$F$79,1,Inputs!$E$13))*(1+Inputs!$F$71)^(K4-1)*(1+Inputs!$F$67)+K22*Inputs!$F$68</f>
        <v/>
      </c>
      <c r="L23" s="3">
        <f>(L22*INDEX(Inputs!$D$78:$F$78,1,Inputs!$E$13)+INDEX(Inputs!$D$79:$F$79,1,Inputs!$E$13))*(1+Inputs!$F$71)^(L4-1)*(1+Inputs!$F$67)+L22*Inputs!$F$68</f>
        <v/>
      </c>
      <c r="M23" s="3">
        <f>(M22*INDEX(Inputs!$D$78:$F$78,1,Inputs!$E$13)+INDEX(Inputs!$D$79:$F$79,1,Inputs!$E$13))*(1+Inputs!$F$71)^(M4-1)*(1+Inputs!$F$67)+M22*Inputs!$F$68</f>
        <v/>
      </c>
      <c r="N23" s="3">
        <f>(N22*INDEX(Inputs!$D$78:$F$78,1,Inputs!$E$13)+INDEX(Inputs!$D$79:$F$79,1,Inputs!$E$13))*(1+Inputs!$F$71)^(N4-1)*(1+Inputs!$F$67)+N22*Inputs!$F$68</f>
        <v/>
      </c>
      <c r="O23" s="3">
        <f>(O22*INDEX(Inputs!$D$78:$F$78,1,Inputs!$E$13)+INDEX(Inputs!$D$79:$F$79,1,Inputs!$E$13))*(1+Inputs!$F$71)^(O4-1)*(1+Inputs!$F$67)+O22*Inputs!$F$68</f>
        <v/>
      </c>
      <c r="P23" s="3">
        <f>(P22*INDEX(Inputs!$D$78:$F$78,1,Inputs!$E$13)+INDEX(Inputs!$D$79:$F$79,1,Inputs!$E$13))*(1+Inputs!$F$71)^(P4-1)*(1+Inputs!$F$67)+P22*Inputs!$F$68</f>
        <v/>
      </c>
      <c r="Q23" s="3">
        <f>(Q22*INDEX(Inputs!$D$78:$F$78,1,Inputs!$E$13)+INDEX(Inputs!$D$79:$F$79,1,Inputs!$E$13))*(1+Inputs!$F$71)^(Q4-1)*(1+Inputs!$F$67)+Q22*Inputs!$F$68</f>
        <v/>
      </c>
      <c r="R23" s="3">
        <f>(R22*INDEX(Inputs!$D$78:$F$78,1,Inputs!$E$13)+INDEX(Inputs!$D$79:$F$79,1,Inputs!$E$13))*(1+Inputs!$F$71)^(R4-1)*(1+Inputs!$F$67)+R22*Inputs!$F$68</f>
        <v/>
      </c>
      <c r="S23" s="3">
        <f>(S22*INDEX(Inputs!$D$78:$F$78,1,Inputs!$E$13)+INDEX(Inputs!$D$79:$F$79,1,Inputs!$E$13))*(1+Inputs!$F$71)^(S4-1)*(1+Inputs!$F$67)+S22*Inputs!$F$68</f>
        <v/>
      </c>
      <c r="T23" s="3">
        <f>(T22*INDEX(Inputs!$D$78:$F$78,1,Inputs!$E$13)+INDEX(Inputs!$D$79:$F$79,1,Inputs!$E$13))*(1+Inputs!$F$71)^(T4-1)*(1+Inputs!$F$67)+T22*Inputs!$F$68</f>
        <v/>
      </c>
      <c r="U23" s="3">
        <f>(U22*INDEX(Inputs!$D$78:$F$78,1,Inputs!$E$13)+INDEX(Inputs!$D$79:$F$79,1,Inputs!$E$13))*(1+Inputs!$F$71)^(U4-1)*(1+Inputs!$F$67)+U22*Inputs!$F$68</f>
        <v/>
      </c>
      <c r="V23" s="3">
        <f>(V22*INDEX(Inputs!$D$78:$F$78,1,Inputs!$E$13)+INDEX(Inputs!$D$79:$F$79,1,Inputs!$E$13))*(1+Inputs!$F$71)^(V4-1)*(1+Inputs!$F$67)+V22*Inputs!$F$68</f>
        <v/>
      </c>
      <c r="W23" s="3">
        <f>(W22*INDEX(Inputs!$D$78:$F$78,1,Inputs!$E$13)+INDEX(Inputs!$D$79:$F$79,1,Inputs!$E$13))*(1+Inputs!$F$71)^(W4-1)*(1+Inputs!$F$67)+W22*Inputs!$F$68</f>
        <v/>
      </c>
      <c r="X23" s="3">
        <f>(X22*INDEX(Inputs!$D$78:$F$78,1,Inputs!$E$13)+INDEX(Inputs!$D$79:$F$79,1,Inputs!$E$13))*(1+Inputs!$F$71)^(X4-1)*(1+Inputs!$F$67)+X22*Inputs!$F$68</f>
        <v/>
      </c>
      <c r="Y23" s="3">
        <f>(Y22*INDEX(Inputs!$D$78:$F$78,1,Inputs!$E$13)+INDEX(Inputs!$D$79:$F$79,1,Inputs!$E$13))*(1+Inputs!$F$71)^(Y4-1)*(1+Inputs!$F$67)+Y22*Inputs!$F$68</f>
        <v/>
      </c>
      <c r="Z23" s="3">
        <f>(Z22*INDEX(Inputs!$D$78:$F$78,1,Inputs!$E$13)+INDEX(Inputs!$D$79:$F$79,1,Inputs!$E$13))*(1+Inputs!$F$71)^(Z4-1)*(1+Inputs!$F$67)+Z22*Inputs!$F$68</f>
        <v/>
      </c>
      <c r="AA23" s="3">
        <f>(AA22*INDEX(Inputs!$D$78:$F$78,1,Inputs!$E$13)+INDEX(Inputs!$D$79:$F$79,1,Inputs!$E$13))*(1+Inputs!$F$71)^(AA4-1)*(1+Inputs!$F$67)+AA22*Inputs!$F$68</f>
        <v/>
      </c>
      <c r="AB23" s="3">
        <f>(AB22*INDEX(Inputs!$D$78:$F$78,1,Inputs!$E$13)+INDEX(Inputs!$D$79:$F$79,1,Inputs!$E$13))*(1+Inputs!$F$71)^(AB4-1)*(1+Inputs!$F$67)+AB22*Inputs!$F$68</f>
        <v/>
      </c>
      <c r="AC23" s="3">
        <f>(AC22*INDEX(Inputs!$D$78:$F$78,1,Inputs!$E$13)+INDEX(Inputs!$D$79:$F$79,1,Inputs!$E$13))*(1+Inputs!$F$71)^(AC4-1)*(1+Inputs!$F$67)+AC22*Inputs!$F$68</f>
        <v/>
      </c>
      <c r="AD23" s="3">
        <f>(AD22*INDEX(Inputs!$D$78:$F$78,1,Inputs!$E$13)+INDEX(Inputs!$D$79:$F$79,1,Inputs!$E$13))*(1+Inputs!$F$71)^(AD4-1)*(1+Inputs!$F$67)+AD22*Inputs!$F$68</f>
        <v/>
      </c>
      <c r="AE23" s="3">
        <f>(AE22*INDEX(Inputs!$D$78:$F$78,1,Inputs!$E$13)+INDEX(Inputs!$D$79:$F$79,1,Inputs!$E$13))*(1+Inputs!$F$71)^(AE4-1)*(1+Inputs!$F$67)+AE22*Inputs!$F$68</f>
        <v/>
      </c>
      <c r="AF23" s="3">
        <f>(AF22*INDEX(Inputs!$D$78:$F$78,1,Inputs!$E$13)+INDEX(Inputs!$D$79:$F$79,1,Inputs!$E$13))*(1+Inputs!$F$71)^(AF4-1)*(1+Inputs!$F$67)+AF22*Inputs!$F$68</f>
        <v/>
      </c>
      <c r="AG23" s="3">
        <f>(AG22*INDEX(Inputs!$D$78:$F$78,1,Inputs!$E$13)+INDEX(Inputs!$D$79:$F$79,1,Inputs!$E$13))*(1+Inputs!$F$71)^(AG4-1)*(1+Inputs!$F$67)+AG22*Inputs!$F$68</f>
        <v/>
      </c>
      <c r="AH23" s="3">
        <f>(AH22*INDEX(Inputs!$D$78:$F$78,1,Inputs!$E$13)+INDEX(Inputs!$D$79:$F$79,1,Inputs!$E$13))*(1+Inputs!$F$71)^(AH4-1)*(1+Inputs!$F$67)+AH22*Inputs!$F$68</f>
        <v/>
      </c>
      <c r="AI23" s="3">
        <f>(AI22*INDEX(Inputs!$D$78:$F$78,1,Inputs!$E$13)+INDEX(Inputs!$D$79:$F$79,1,Inputs!$E$13))*(1+Inputs!$F$71)^(AI4-1)*(1+Inputs!$F$67)+AI22*Inputs!$F$68</f>
        <v/>
      </c>
      <c r="AJ23" s="3">
        <f>(AJ22*INDEX(Inputs!$D$78:$F$78,1,Inputs!$E$13)+INDEX(Inputs!$D$79:$F$79,1,Inputs!$E$13))*(1+Inputs!$F$71)^(AJ4-1)*(1+Inputs!$F$67)+AJ22*Inputs!$F$68</f>
        <v/>
      </c>
      <c r="AK23" s="3">
        <f>(AK22*INDEX(Inputs!$D$78:$F$78,1,Inputs!$E$13)+INDEX(Inputs!$D$79:$F$79,1,Inputs!$E$13))*(1+Inputs!$F$71)^(AK4-1)*(1+Inputs!$F$67)+AK22*Inputs!$F$68</f>
        <v/>
      </c>
      <c r="AL23" s="3">
        <f>(AL22*INDEX(Inputs!$D$78:$F$78,1,Inputs!$E$13)+INDEX(Inputs!$D$79:$F$79,1,Inputs!$E$13))*(1+Inputs!$F$71)^(AL4-1)*(1+Inputs!$F$67)+AL22*Inputs!$F$68</f>
        <v/>
      </c>
      <c r="AM23" s="3">
        <f>(AM22*INDEX(Inputs!$D$78:$F$78,1,Inputs!$E$13)+INDEX(Inputs!$D$79:$F$79,1,Inputs!$E$13))*(1+Inputs!$F$71)^(AM4-1)*(1+Inputs!$F$67)+AM22*Inputs!$F$68</f>
        <v/>
      </c>
      <c r="AN23" s="3">
        <f>(AN22*INDEX(Inputs!$D$78:$F$78,1,Inputs!$E$13)+INDEX(Inputs!$D$79:$F$79,1,Inputs!$E$13))*(1+Inputs!$F$71)^(AN4-1)*(1+Inputs!$F$67)+AN22*Inputs!$F$68</f>
        <v/>
      </c>
      <c r="AO23" s="3">
        <f>(AO22*INDEX(Inputs!$D$78:$F$78,1,Inputs!$E$13)+INDEX(Inputs!$D$79:$F$79,1,Inputs!$E$13))*(1+Inputs!$F$71)^(AO4-1)*(1+Inputs!$F$67)+AO22*Inputs!$F$68</f>
        <v/>
      </c>
      <c r="AP23" s="3">
        <f>(AP22*INDEX(Inputs!$D$78:$F$78,1,Inputs!$E$13)+INDEX(Inputs!$D$79:$F$79,1,Inputs!$E$13))*(1+Inputs!$F$71)^(AP4-1)*(1+Inputs!$F$67)+AP22*Inputs!$F$68</f>
        <v/>
      </c>
      <c r="AQ23" s="3">
        <f>(AQ22*INDEX(Inputs!$D$78:$F$78,1,Inputs!$E$13)+INDEX(Inputs!$D$79:$F$79,1,Inputs!$E$13))*(1+Inputs!$F$71)^(AQ4-1)*(1+Inputs!$F$67)+AQ22*Inputs!$F$68</f>
        <v/>
      </c>
      <c r="AR23" s="3">
        <f>(AR22*INDEX(Inputs!$D$78:$F$78,1,Inputs!$E$13)+INDEX(Inputs!$D$79:$F$79,1,Inputs!$E$13))*(1+Inputs!$F$71)^(AR4-1)*(1+Inputs!$F$67)+AR22*Inputs!$F$68</f>
        <v/>
      </c>
      <c r="AS23" s="3">
        <f>(AS22*INDEX(Inputs!$D$78:$F$78,1,Inputs!$E$13)+INDEX(Inputs!$D$79:$F$79,1,Inputs!$E$13))*(1+Inputs!$F$71)^(AS4-1)*(1+Inputs!$F$67)+AS22*Inputs!$F$68</f>
        <v/>
      </c>
      <c r="AT23" s="3">
        <f>(AT22*INDEX(Inputs!$D$78:$F$78,1,Inputs!$E$13)+INDEX(Inputs!$D$79:$F$79,1,Inputs!$E$13))*(1+Inputs!$F$71)^(AT4-1)*(1+Inputs!$F$67)+AT22*Inputs!$F$68</f>
        <v/>
      </c>
      <c r="AU23" s="3">
        <f>(AU22*INDEX(Inputs!$D$78:$F$78,1,Inputs!$E$13)+INDEX(Inputs!$D$79:$F$79,1,Inputs!$E$13))*(1+Inputs!$F$71)^(AU4-1)*(1+Inputs!$F$67)+AU22*Inputs!$F$68</f>
        <v/>
      </c>
      <c r="AV23" s="3">
        <f>(AV22*INDEX(Inputs!$D$78:$F$78,1,Inputs!$E$13)+INDEX(Inputs!$D$79:$F$79,1,Inputs!$E$13))*(1+Inputs!$F$71)^(AV4-1)*(1+Inputs!$F$67)+AV22*Inputs!$F$68</f>
        <v/>
      </c>
      <c r="AW23" s="3">
        <f>(AW22*INDEX(Inputs!$D$78:$F$78,1,Inputs!$E$13)+INDEX(Inputs!$D$79:$F$79,1,Inputs!$E$13))*(1+Inputs!$F$71)^(AW4-1)*(1+Inputs!$F$67)+AW22*Inputs!$F$68</f>
        <v/>
      </c>
      <c r="AX23" s="3">
        <f>(AX22*INDEX(Inputs!$D$78:$F$78,1,Inputs!$E$13)+INDEX(Inputs!$D$79:$F$79,1,Inputs!$E$13))*(1+Inputs!$F$71)^(AX4-1)*(1+Inputs!$F$67)+AX22*Inputs!$F$68</f>
        <v/>
      </c>
      <c r="AY23" s="3">
        <f>(AY22*INDEX(Inputs!$D$78:$F$78,1,Inputs!$E$13)+INDEX(Inputs!$D$79:$F$79,1,Inputs!$E$13))*(1+Inputs!$F$71)^(AY4-1)*(1+Inputs!$F$67)+AY22*Inputs!$F$68</f>
        <v/>
      </c>
      <c r="AZ23" s="3">
        <f>(AZ22*INDEX(Inputs!$D$78:$F$78,1,Inputs!$E$13)+INDEX(Inputs!$D$79:$F$79,1,Inputs!$E$13))*(1+Inputs!$F$71)^(AZ4-1)*(1+Inputs!$F$67)+AZ22*Inputs!$F$68</f>
        <v/>
      </c>
      <c r="BA23" s="3">
        <f>(BA22*INDEX(Inputs!$D$78:$F$78,1,Inputs!$E$13)+INDEX(Inputs!$D$79:$F$79,1,Inputs!$E$13))*(1+Inputs!$F$71)^(BA4-1)*(1+Inputs!$F$67)+BA22*Inputs!$F$68</f>
        <v/>
      </c>
      <c r="BB23" s="3">
        <f>(BB22*INDEX(Inputs!$D$78:$F$78,1,Inputs!$E$13)+INDEX(Inputs!$D$79:$F$79,1,Inputs!$E$13))*(1+Inputs!$F$71)^(BB4-1)*(1+Inputs!$F$67)+BB22*Inputs!$F$68</f>
        <v/>
      </c>
      <c r="BC23" s="3">
        <f>(BC22*INDEX(Inputs!$D$78:$F$78,1,Inputs!$E$13)+INDEX(Inputs!$D$79:$F$79,1,Inputs!$E$13))*(1+Inputs!$F$71)^(BC4-1)*(1+Inputs!$F$67)+BC22*Inputs!$F$68</f>
        <v/>
      </c>
      <c r="BD23" s="3">
        <f>(BD22*INDEX(Inputs!$D$78:$F$78,1,Inputs!$E$13)+INDEX(Inputs!$D$79:$F$79,1,Inputs!$E$13))*(1+Inputs!$F$71)^(BD4-1)*(1+Inputs!$F$67)+BD22*Inputs!$F$68</f>
        <v/>
      </c>
      <c r="BE23" s="3">
        <f>(BE22*INDEX(Inputs!$D$78:$F$78,1,Inputs!$E$13)+INDEX(Inputs!$D$79:$F$79,1,Inputs!$E$13))*(1+Inputs!$F$71)^(BE4-1)*(1+Inputs!$F$67)+BE22*Inputs!$F$68</f>
        <v/>
      </c>
      <c r="BF23" s="3">
        <f>(BF22*INDEX(Inputs!$D$78:$F$78,1,Inputs!$E$13)+INDEX(Inputs!$D$79:$F$79,1,Inputs!$E$13))*(1+Inputs!$F$71)^(BF4-1)*(1+Inputs!$F$67)+BF22*Inputs!$F$68</f>
        <v/>
      </c>
      <c r="BG23" s="3">
        <f>(BG22*INDEX(Inputs!$D$78:$F$78,1,Inputs!$E$13)+INDEX(Inputs!$D$79:$F$79,1,Inputs!$E$13))*(1+Inputs!$F$71)^(BG4-1)*(1+Inputs!$F$67)+BG22*Inputs!$F$68</f>
        <v/>
      </c>
      <c r="BH23" s="3">
        <f>(BH22*INDEX(Inputs!$D$78:$F$78,1,Inputs!$E$13)+INDEX(Inputs!$D$79:$F$79,1,Inputs!$E$13))*(1+Inputs!$F$71)^(BH4-1)*(1+Inputs!$F$67)+BH22*Inputs!$F$68</f>
        <v/>
      </c>
      <c r="BI23" s="3">
        <f>(BI22*INDEX(Inputs!$D$78:$F$78,1,Inputs!$E$13)+INDEX(Inputs!$D$79:$F$79,1,Inputs!$E$13))*(1+Inputs!$F$71)^(BI4-1)*(1+Inputs!$F$67)+BI22*Inputs!$F$68</f>
        <v/>
      </c>
      <c r="BJ23" s="3">
        <f>(BJ22*INDEX(Inputs!$D$78:$F$78,1,Inputs!$E$13)+INDEX(Inputs!$D$79:$F$79,1,Inputs!$E$13))*(1+Inputs!$F$71)^(BJ4-1)*(1+Inputs!$F$67)+BJ22*Inputs!$F$68</f>
        <v/>
      </c>
    </row>
    <row r="24">
      <c r="A24" t="inlineStr">
        <is>
          <t>Ground rent</t>
        </is>
      </c>
      <c r="C24" s="3">
        <f>Inputs!$F$14*Inputs!$F$65*(1+Inputs!$F$70)^(C4-1)</f>
        <v/>
      </c>
      <c r="D24" s="3">
        <f>Inputs!$F$14*Inputs!$F$65*(1+Inputs!$F$70)^(D4-1)</f>
        <v/>
      </c>
      <c r="E24" s="3">
        <f>Inputs!$F$14*Inputs!$F$65*(1+Inputs!$F$70)^(E4-1)</f>
        <v/>
      </c>
      <c r="F24" s="3">
        <f>Inputs!$F$14*Inputs!$F$65*(1+Inputs!$F$70)^(F4-1)</f>
        <v/>
      </c>
      <c r="G24" s="3">
        <f>Inputs!$F$14*Inputs!$F$65*(1+Inputs!$F$70)^(G4-1)</f>
        <v/>
      </c>
      <c r="H24" s="3">
        <f>Inputs!$F$14*Inputs!$F$65*(1+Inputs!$F$70)^(H4-1)</f>
        <v/>
      </c>
      <c r="I24" s="3">
        <f>Inputs!$F$14*Inputs!$F$65*(1+Inputs!$F$70)^(I4-1)</f>
        <v/>
      </c>
      <c r="J24" s="3">
        <f>Inputs!$F$14*Inputs!$F$65*(1+Inputs!$F$70)^(J4-1)</f>
        <v/>
      </c>
      <c r="K24" s="3">
        <f>Inputs!$F$14*Inputs!$F$65*(1+Inputs!$F$70)^(K4-1)</f>
        <v/>
      </c>
      <c r="L24" s="3">
        <f>Inputs!$F$14*Inputs!$F$65*(1+Inputs!$F$70)^(L4-1)</f>
        <v/>
      </c>
      <c r="M24" s="3">
        <f>Inputs!$F$14*Inputs!$F$65*(1+Inputs!$F$70)^(M4-1)</f>
        <v/>
      </c>
      <c r="N24" s="3">
        <f>Inputs!$F$14*Inputs!$F$65*(1+Inputs!$F$70)^(N4-1)</f>
        <v/>
      </c>
      <c r="O24" s="3">
        <f>Inputs!$F$14*Inputs!$F$65*(1+Inputs!$F$70)^(O4-1)</f>
        <v/>
      </c>
      <c r="P24" s="3">
        <f>Inputs!$F$14*Inputs!$F$65*(1+Inputs!$F$70)^(P4-1)</f>
        <v/>
      </c>
      <c r="Q24" s="3">
        <f>Inputs!$F$14*Inputs!$F$65*(1+Inputs!$F$70)^(Q4-1)</f>
        <v/>
      </c>
      <c r="R24" s="3">
        <f>Inputs!$F$14*Inputs!$F$65*(1+Inputs!$F$70)^(R4-1)</f>
        <v/>
      </c>
      <c r="S24" s="3">
        <f>Inputs!$F$14*Inputs!$F$65*(1+Inputs!$F$70)^(S4-1)</f>
        <v/>
      </c>
      <c r="T24" s="3">
        <f>Inputs!$F$14*Inputs!$F$65*(1+Inputs!$F$70)^(T4-1)</f>
        <v/>
      </c>
      <c r="U24" s="3">
        <f>Inputs!$F$14*Inputs!$F$65*(1+Inputs!$F$70)^(U4-1)</f>
        <v/>
      </c>
      <c r="V24" s="3">
        <f>Inputs!$F$14*Inputs!$F$65*(1+Inputs!$F$70)^(V4-1)</f>
        <v/>
      </c>
      <c r="W24" s="3">
        <f>Inputs!$F$14*Inputs!$F$65*(1+Inputs!$F$70)^(W4-1)</f>
        <v/>
      </c>
      <c r="X24" s="3">
        <f>Inputs!$F$14*Inputs!$F$65*(1+Inputs!$F$70)^(X4-1)</f>
        <v/>
      </c>
      <c r="Y24" s="3">
        <f>Inputs!$F$14*Inputs!$F$65*(1+Inputs!$F$70)^(Y4-1)</f>
        <v/>
      </c>
      <c r="Z24" s="3">
        <f>Inputs!$F$14*Inputs!$F$65*(1+Inputs!$F$70)^(Z4-1)</f>
        <v/>
      </c>
      <c r="AA24" s="3">
        <f>Inputs!$F$14*Inputs!$F$65*(1+Inputs!$F$70)^(AA4-1)</f>
        <v/>
      </c>
      <c r="AB24" s="3">
        <f>Inputs!$F$14*Inputs!$F$65*(1+Inputs!$F$70)^(AB4-1)</f>
        <v/>
      </c>
      <c r="AC24" s="3">
        <f>Inputs!$F$14*Inputs!$F$65*(1+Inputs!$F$70)^(AC4-1)</f>
        <v/>
      </c>
      <c r="AD24" s="3">
        <f>Inputs!$F$14*Inputs!$F$65*(1+Inputs!$F$70)^(AD4-1)</f>
        <v/>
      </c>
      <c r="AE24" s="3">
        <f>Inputs!$F$14*Inputs!$F$65*(1+Inputs!$F$70)^(AE4-1)</f>
        <v/>
      </c>
      <c r="AF24" s="3">
        <f>Inputs!$F$14*Inputs!$F$65*(1+Inputs!$F$70)^(AF4-1)</f>
        <v/>
      </c>
      <c r="AG24" s="3">
        <f>Inputs!$F$14*Inputs!$F$65*(1+Inputs!$F$70)^(AG4-1)</f>
        <v/>
      </c>
      <c r="AH24" s="3">
        <f>Inputs!$F$14*Inputs!$F$65*(1+Inputs!$F$70)^(AH4-1)</f>
        <v/>
      </c>
      <c r="AI24" s="3">
        <f>Inputs!$F$14*Inputs!$F$65*(1+Inputs!$F$70)^(AI4-1)</f>
        <v/>
      </c>
      <c r="AJ24" s="3">
        <f>Inputs!$F$14*Inputs!$F$65*(1+Inputs!$F$70)^(AJ4-1)</f>
        <v/>
      </c>
      <c r="AK24" s="3">
        <f>Inputs!$F$14*Inputs!$F$65*(1+Inputs!$F$70)^(AK4-1)</f>
        <v/>
      </c>
      <c r="AL24" s="3">
        <f>Inputs!$F$14*Inputs!$F$65*(1+Inputs!$F$70)^(AL4-1)</f>
        <v/>
      </c>
      <c r="AM24" s="3">
        <f>Inputs!$F$14*Inputs!$F$65*(1+Inputs!$F$70)^(AM4-1)</f>
        <v/>
      </c>
      <c r="AN24" s="3">
        <f>Inputs!$F$14*Inputs!$F$65*(1+Inputs!$F$70)^(AN4-1)</f>
        <v/>
      </c>
      <c r="AO24" s="3">
        <f>Inputs!$F$14*Inputs!$F$65*(1+Inputs!$F$70)^(AO4-1)</f>
        <v/>
      </c>
      <c r="AP24" s="3">
        <f>Inputs!$F$14*Inputs!$F$65*(1+Inputs!$F$70)^(AP4-1)</f>
        <v/>
      </c>
      <c r="AQ24" s="3">
        <f>Inputs!$F$14*Inputs!$F$65*(1+Inputs!$F$70)^(AQ4-1)</f>
        <v/>
      </c>
      <c r="AR24" s="3">
        <f>Inputs!$F$14*Inputs!$F$65*(1+Inputs!$F$70)^(AR4-1)</f>
        <v/>
      </c>
      <c r="AS24" s="3">
        <f>Inputs!$F$14*Inputs!$F$65*(1+Inputs!$F$70)^(AS4-1)</f>
        <v/>
      </c>
      <c r="AT24" s="3">
        <f>Inputs!$F$14*Inputs!$F$65*(1+Inputs!$F$70)^(AT4-1)</f>
        <v/>
      </c>
      <c r="AU24" s="3">
        <f>Inputs!$F$14*Inputs!$F$65*(1+Inputs!$F$70)^(AU4-1)</f>
        <v/>
      </c>
      <c r="AV24" s="3">
        <f>Inputs!$F$14*Inputs!$F$65*(1+Inputs!$F$70)^(AV4-1)</f>
        <v/>
      </c>
      <c r="AW24" s="3">
        <f>Inputs!$F$14*Inputs!$F$65*(1+Inputs!$F$70)^(AW4-1)</f>
        <v/>
      </c>
      <c r="AX24" s="3">
        <f>Inputs!$F$14*Inputs!$F$65*(1+Inputs!$F$70)^(AX4-1)</f>
        <v/>
      </c>
      <c r="AY24" s="3">
        <f>Inputs!$F$14*Inputs!$F$65*(1+Inputs!$F$70)^(AY4-1)</f>
        <v/>
      </c>
      <c r="AZ24" s="3">
        <f>Inputs!$F$14*Inputs!$F$65*(1+Inputs!$F$70)^(AZ4-1)</f>
        <v/>
      </c>
      <c r="BA24" s="3">
        <f>Inputs!$F$14*Inputs!$F$65*(1+Inputs!$F$70)^(BA4-1)</f>
        <v/>
      </c>
      <c r="BB24" s="3">
        <f>Inputs!$F$14*Inputs!$F$65*(1+Inputs!$F$70)^(BB4-1)</f>
        <v/>
      </c>
      <c r="BC24" s="3">
        <f>Inputs!$F$14*Inputs!$F$65*(1+Inputs!$F$70)^(BC4-1)</f>
        <v/>
      </c>
      <c r="BD24" s="3">
        <f>Inputs!$F$14*Inputs!$F$65*(1+Inputs!$F$70)^(BD4-1)</f>
        <v/>
      </c>
      <c r="BE24" s="3">
        <f>Inputs!$F$14*Inputs!$F$65*(1+Inputs!$F$70)^(BE4-1)</f>
        <v/>
      </c>
      <c r="BF24" s="3">
        <f>Inputs!$F$14*Inputs!$F$65*(1+Inputs!$F$70)^(BF4-1)</f>
        <v/>
      </c>
      <c r="BG24" s="3">
        <f>Inputs!$F$14*Inputs!$F$65*(1+Inputs!$F$70)^(BG4-1)</f>
        <v/>
      </c>
      <c r="BH24" s="3">
        <f>Inputs!$F$14*Inputs!$F$65*(1+Inputs!$F$70)^(BH4-1)</f>
        <v/>
      </c>
      <c r="BI24" s="3">
        <f>Inputs!$F$14*Inputs!$F$65*(1+Inputs!$F$70)^(BI4-1)</f>
        <v/>
      </c>
      <c r="BJ24" s="3">
        <f>Inputs!$F$14*Inputs!$F$65*(1+Inputs!$F$70)^(BJ4-1)</f>
        <v/>
      </c>
    </row>
    <row r="25">
      <c r="A25" t="inlineStr">
        <is>
          <t>Other fixed + land tax</t>
        </is>
      </c>
      <c r="C25" s="3">
        <f>Inputs!$F$64*(1+Inputs!$F$70)^(C4-1)+Inputs!$F$66/12</f>
        <v/>
      </c>
      <c r="D25" s="3">
        <f>Inputs!$F$64*(1+Inputs!$F$70)^(D4-1)+Inputs!$F$66/12</f>
        <v/>
      </c>
      <c r="E25" s="3">
        <f>Inputs!$F$64*(1+Inputs!$F$70)^(E4-1)+Inputs!$F$66/12</f>
        <v/>
      </c>
      <c r="F25" s="3">
        <f>Inputs!$F$64*(1+Inputs!$F$70)^(F4-1)+Inputs!$F$66/12</f>
        <v/>
      </c>
      <c r="G25" s="3">
        <f>Inputs!$F$64*(1+Inputs!$F$70)^(G4-1)+Inputs!$F$66/12</f>
        <v/>
      </c>
      <c r="H25" s="3">
        <f>Inputs!$F$64*(1+Inputs!$F$70)^(H4-1)+Inputs!$F$66/12</f>
        <v/>
      </c>
      <c r="I25" s="3">
        <f>Inputs!$F$64*(1+Inputs!$F$70)^(I4-1)+Inputs!$F$66/12</f>
        <v/>
      </c>
      <c r="J25" s="3">
        <f>Inputs!$F$64*(1+Inputs!$F$70)^(J4-1)+Inputs!$F$66/12</f>
        <v/>
      </c>
      <c r="K25" s="3">
        <f>Inputs!$F$64*(1+Inputs!$F$70)^(K4-1)+Inputs!$F$66/12</f>
        <v/>
      </c>
      <c r="L25" s="3">
        <f>Inputs!$F$64*(1+Inputs!$F$70)^(L4-1)+Inputs!$F$66/12</f>
        <v/>
      </c>
      <c r="M25" s="3">
        <f>Inputs!$F$64*(1+Inputs!$F$70)^(M4-1)+Inputs!$F$66/12</f>
        <v/>
      </c>
      <c r="N25" s="3">
        <f>Inputs!$F$64*(1+Inputs!$F$70)^(N4-1)+Inputs!$F$66/12</f>
        <v/>
      </c>
      <c r="O25" s="3">
        <f>Inputs!$F$64*(1+Inputs!$F$70)^(O4-1)+Inputs!$F$66/12</f>
        <v/>
      </c>
      <c r="P25" s="3">
        <f>Inputs!$F$64*(1+Inputs!$F$70)^(P4-1)+Inputs!$F$66/12</f>
        <v/>
      </c>
      <c r="Q25" s="3">
        <f>Inputs!$F$64*(1+Inputs!$F$70)^(Q4-1)+Inputs!$F$66/12</f>
        <v/>
      </c>
      <c r="R25" s="3">
        <f>Inputs!$F$64*(1+Inputs!$F$70)^(R4-1)+Inputs!$F$66/12</f>
        <v/>
      </c>
      <c r="S25" s="3">
        <f>Inputs!$F$64*(1+Inputs!$F$70)^(S4-1)+Inputs!$F$66/12</f>
        <v/>
      </c>
      <c r="T25" s="3">
        <f>Inputs!$F$64*(1+Inputs!$F$70)^(T4-1)+Inputs!$F$66/12</f>
        <v/>
      </c>
      <c r="U25" s="3">
        <f>Inputs!$F$64*(1+Inputs!$F$70)^(U4-1)+Inputs!$F$66/12</f>
        <v/>
      </c>
      <c r="V25" s="3">
        <f>Inputs!$F$64*(1+Inputs!$F$70)^(V4-1)+Inputs!$F$66/12</f>
        <v/>
      </c>
      <c r="W25" s="3">
        <f>Inputs!$F$64*(1+Inputs!$F$70)^(W4-1)+Inputs!$F$66/12</f>
        <v/>
      </c>
      <c r="X25" s="3">
        <f>Inputs!$F$64*(1+Inputs!$F$70)^(X4-1)+Inputs!$F$66/12</f>
        <v/>
      </c>
      <c r="Y25" s="3">
        <f>Inputs!$F$64*(1+Inputs!$F$70)^(Y4-1)+Inputs!$F$66/12</f>
        <v/>
      </c>
      <c r="Z25" s="3">
        <f>Inputs!$F$64*(1+Inputs!$F$70)^(Z4-1)+Inputs!$F$66/12</f>
        <v/>
      </c>
      <c r="AA25" s="3">
        <f>Inputs!$F$64*(1+Inputs!$F$70)^(AA4-1)+Inputs!$F$66/12</f>
        <v/>
      </c>
      <c r="AB25" s="3">
        <f>Inputs!$F$64*(1+Inputs!$F$70)^(AB4-1)+Inputs!$F$66/12</f>
        <v/>
      </c>
      <c r="AC25" s="3">
        <f>Inputs!$F$64*(1+Inputs!$F$70)^(AC4-1)+Inputs!$F$66/12</f>
        <v/>
      </c>
      <c r="AD25" s="3">
        <f>Inputs!$F$64*(1+Inputs!$F$70)^(AD4-1)+Inputs!$F$66/12</f>
        <v/>
      </c>
      <c r="AE25" s="3">
        <f>Inputs!$F$64*(1+Inputs!$F$70)^(AE4-1)+Inputs!$F$66/12</f>
        <v/>
      </c>
      <c r="AF25" s="3">
        <f>Inputs!$F$64*(1+Inputs!$F$70)^(AF4-1)+Inputs!$F$66/12</f>
        <v/>
      </c>
      <c r="AG25" s="3">
        <f>Inputs!$F$64*(1+Inputs!$F$70)^(AG4-1)+Inputs!$F$66/12</f>
        <v/>
      </c>
      <c r="AH25" s="3">
        <f>Inputs!$F$64*(1+Inputs!$F$70)^(AH4-1)+Inputs!$F$66/12</f>
        <v/>
      </c>
      <c r="AI25" s="3">
        <f>Inputs!$F$64*(1+Inputs!$F$70)^(AI4-1)+Inputs!$F$66/12</f>
        <v/>
      </c>
      <c r="AJ25" s="3">
        <f>Inputs!$F$64*(1+Inputs!$F$70)^(AJ4-1)+Inputs!$F$66/12</f>
        <v/>
      </c>
      <c r="AK25" s="3">
        <f>Inputs!$F$64*(1+Inputs!$F$70)^(AK4-1)+Inputs!$F$66/12</f>
        <v/>
      </c>
      <c r="AL25" s="3">
        <f>Inputs!$F$64*(1+Inputs!$F$70)^(AL4-1)+Inputs!$F$66/12</f>
        <v/>
      </c>
      <c r="AM25" s="3">
        <f>Inputs!$F$64*(1+Inputs!$F$70)^(AM4-1)+Inputs!$F$66/12</f>
        <v/>
      </c>
      <c r="AN25" s="3">
        <f>Inputs!$F$64*(1+Inputs!$F$70)^(AN4-1)+Inputs!$F$66/12</f>
        <v/>
      </c>
      <c r="AO25" s="3">
        <f>Inputs!$F$64*(1+Inputs!$F$70)^(AO4-1)+Inputs!$F$66/12</f>
        <v/>
      </c>
      <c r="AP25" s="3">
        <f>Inputs!$F$64*(1+Inputs!$F$70)^(AP4-1)+Inputs!$F$66/12</f>
        <v/>
      </c>
      <c r="AQ25" s="3">
        <f>Inputs!$F$64*(1+Inputs!$F$70)^(AQ4-1)+Inputs!$F$66/12</f>
        <v/>
      </c>
      <c r="AR25" s="3">
        <f>Inputs!$F$64*(1+Inputs!$F$70)^(AR4-1)+Inputs!$F$66/12</f>
        <v/>
      </c>
      <c r="AS25" s="3">
        <f>Inputs!$F$64*(1+Inputs!$F$70)^(AS4-1)+Inputs!$F$66/12</f>
        <v/>
      </c>
      <c r="AT25" s="3">
        <f>Inputs!$F$64*(1+Inputs!$F$70)^(AT4-1)+Inputs!$F$66/12</f>
        <v/>
      </c>
      <c r="AU25" s="3">
        <f>Inputs!$F$64*(1+Inputs!$F$70)^(AU4-1)+Inputs!$F$66/12</f>
        <v/>
      </c>
      <c r="AV25" s="3">
        <f>Inputs!$F$64*(1+Inputs!$F$70)^(AV4-1)+Inputs!$F$66/12</f>
        <v/>
      </c>
      <c r="AW25" s="3">
        <f>Inputs!$F$64*(1+Inputs!$F$70)^(AW4-1)+Inputs!$F$66/12</f>
        <v/>
      </c>
      <c r="AX25" s="3">
        <f>Inputs!$F$64*(1+Inputs!$F$70)^(AX4-1)+Inputs!$F$66/12</f>
        <v/>
      </c>
      <c r="AY25" s="3">
        <f>Inputs!$F$64*(1+Inputs!$F$70)^(AY4-1)+Inputs!$F$66/12</f>
        <v/>
      </c>
      <c r="AZ25" s="3">
        <f>Inputs!$F$64*(1+Inputs!$F$70)^(AZ4-1)+Inputs!$F$66/12</f>
        <v/>
      </c>
      <c r="BA25" s="3">
        <f>Inputs!$F$64*(1+Inputs!$F$70)^(BA4-1)+Inputs!$F$66/12</f>
        <v/>
      </c>
      <c r="BB25" s="3">
        <f>Inputs!$F$64*(1+Inputs!$F$70)^(BB4-1)+Inputs!$F$66/12</f>
        <v/>
      </c>
      <c r="BC25" s="3">
        <f>Inputs!$F$64*(1+Inputs!$F$70)^(BC4-1)+Inputs!$F$66/12</f>
        <v/>
      </c>
      <c r="BD25" s="3">
        <f>Inputs!$F$64*(1+Inputs!$F$70)^(BD4-1)+Inputs!$F$66/12</f>
        <v/>
      </c>
      <c r="BE25" s="3">
        <f>Inputs!$F$64*(1+Inputs!$F$70)^(BE4-1)+Inputs!$F$66/12</f>
        <v/>
      </c>
      <c r="BF25" s="3">
        <f>Inputs!$F$64*(1+Inputs!$F$70)^(BF4-1)+Inputs!$F$66/12</f>
        <v/>
      </c>
      <c r="BG25" s="3">
        <f>Inputs!$F$64*(1+Inputs!$F$70)^(BG4-1)+Inputs!$F$66/12</f>
        <v/>
      </c>
      <c r="BH25" s="3">
        <f>Inputs!$F$64*(1+Inputs!$F$70)^(BH4-1)+Inputs!$F$66/12</f>
        <v/>
      </c>
      <c r="BI25" s="3">
        <f>Inputs!$F$64*(1+Inputs!$F$70)^(BI4-1)+Inputs!$F$66/12</f>
        <v/>
      </c>
      <c r="BJ25" s="3">
        <f>Inputs!$F$64*(1+Inputs!$F$70)^(BJ4-1)+Inputs!$F$66/12</f>
        <v/>
      </c>
    </row>
    <row r="26">
      <c r="A26" s="18" t="inlineStr">
        <is>
          <t>Total operating costs</t>
        </is>
      </c>
      <c r="C26" s="3">
        <f>SUM(C15:C20)+C23+C24+C25</f>
        <v/>
      </c>
      <c r="D26" s="3">
        <f>SUM(D15:D20)+D23+D24+D25</f>
        <v/>
      </c>
      <c r="E26" s="3">
        <f>SUM(E15:E20)+E23+E24+E25</f>
        <v/>
      </c>
      <c r="F26" s="3">
        <f>SUM(F15:F20)+F23+F24+F25</f>
        <v/>
      </c>
      <c r="G26" s="3">
        <f>SUM(G15:G20)+G23+G24+G25</f>
        <v/>
      </c>
      <c r="H26" s="3">
        <f>SUM(H15:H20)+H23+H24+H25</f>
        <v/>
      </c>
      <c r="I26" s="3">
        <f>SUM(I15:I20)+I23+I24+I25</f>
        <v/>
      </c>
      <c r="J26" s="3">
        <f>SUM(J15:J20)+J23+J24+J25</f>
        <v/>
      </c>
      <c r="K26" s="3">
        <f>SUM(K15:K20)+K23+K24+K25</f>
        <v/>
      </c>
      <c r="L26" s="3">
        <f>SUM(L15:L20)+L23+L24+L25</f>
        <v/>
      </c>
      <c r="M26" s="3">
        <f>SUM(M15:M20)+M23+M24+M25</f>
        <v/>
      </c>
      <c r="N26" s="3">
        <f>SUM(N15:N20)+N23+N24+N25</f>
        <v/>
      </c>
      <c r="O26" s="3">
        <f>SUM(O15:O20)+O23+O24+O25</f>
        <v/>
      </c>
      <c r="P26" s="3">
        <f>SUM(P15:P20)+P23+P24+P25</f>
        <v/>
      </c>
      <c r="Q26" s="3">
        <f>SUM(Q15:Q20)+Q23+Q24+Q25</f>
        <v/>
      </c>
      <c r="R26" s="3">
        <f>SUM(R15:R20)+R23+R24+R25</f>
        <v/>
      </c>
      <c r="S26" s="3">
        <f>SUM(S15:S20)+S23+S24+S25</f>
        <v/>
      </c>
      <c r="T26" s="3">
        <f>SUM(T15:T20)+T23+T24+T25</f>
        <v/>
      </c>
      <c r="U26" s="3">
        <f>SUM(U15:U20)+U23+U24+U25</f>
        <v/>
      </c>
      <c r="V26" s="3">
        <f>SUM(V15:V20)+V23+V24+V25</f>
        <v/>
      </c>
      <c r="W26" s="3">
        <f>SUM(W15:W20)+W23+W24+W25</f>
        <v/>
      </c>
      <c r="X26" s="3">
        <f>SUM(X15:X20)+X23+X24+X25</f>
        <v/>
      </c>
      <c r="Y26" s="3">
        <f>SUM(Y15:Y20)+Y23+Y24+Y25</f>
        <v/>
      </c>
      <c r="Z26" s="3">
        <f>SUM(Z15:Z20)+Z23+Z24+Z25</f>
        <v/>
      </c>
      <c r="AA26" s="3">
        <f>SUM(AA15:AA20)+AA23+AA24+AA25</f>
        <v/>
      </c>
      <c r="AB26" s="3">
        <f>SUM(AB15:AB20)+AB23+AB24+AB25</f>
        <v/>
      </c>
      <c r="AC26" s="3">
        <f>SUM(AC15:AC20)+AC23+AC24+AC25</f>
        <v/>
      </c>
      <c r="AD26" s="3">
        <f>SUM(AD15:AD20)+AD23+AD24+AD25</f>
        <v/>
      </c>
      <c r="AE26" s="3">
        <f>SUM(AE15:AE20)+AE23+AE24+AE25</f>
        <v/>
      </c>
      <c r="AF26" s="3">
        <f>SUM(AF15:AF20)+AF23+AF24+AF25</f>
        <v/>
      </c>
      <c r="AG26" s="3">
        <f>SUM(AG15:AG20)+AG23+AG24+AG25</f>
        <v/>
      </c>
      <c r="AH26" s="3">
        <f>SUM(AH15:AH20)+AH23+AH24+AH25</f>
        <v/>
      </c>
      <c r="AI26" s="3">
        <f>SUM(AI15:AI20)+AI23+AI24+AI25</f>
        <v/>
      </c>
      <c r="AJ26" s="3">
        <f>SUM(AJ15:AJ20)+AJ23+AJ24+AJ25</f>
        <v/>
      </c>
      <c r="AK26" s="3">
        <f>SUM(AK15:AK20)+AK23+AK24+AK25</f>
        <v/>
      </c>
      <c r="AL26" s="3">
        <f>SUM(AL15:AL20)+AL23+AL24+AL25</f>
        <v/>
      </c>
      <c r="AM26" s="3">
        <f>SUM(AM15:AM20)+AM23+AM24+AM25</f>
        <v/>
      </c>
      <c r="AN26" s="3">
        <f>SUM(AN15:AN20)+AN23+AN24+AN25</f>
        <v/>
      </c>
      <c r="AO26" s="3">
        <f>SUM(AO15:AO20)+AO23+AO24+AO25</f>
        <v/>
      </c>
      <c r="AP26" s="3">
        <f>SUM(AP15:AP20)+AP23+AP24+AP25</f>
        <v/>
      </c>
      <c r="AQ26" s="3">
        <f>SUM(AQ15:AQ20)+AQ23+AQ24+AQ25</f>
        <v/>
      </c>
      <c r="AR26" s="3">
        <f>SUM(AR15:AR20)+AR23+AR24+AR25</f>
        <v/>
      </c>
      <c r="AS26" s="3">
        <f>SUM(AS15:AS20)+AS23+AS24+AS25</f>
        <v/>
      </c>
      <c r="AT26" s="3">
        <f>SUM(AT15:AT20)+AT23+AT24+AT25</f>
        <v/>
      </c>
      <c r="AU26" s="3">
        <f>SUM(AU15:AU20)+AU23+AU24+AU25</f>
        <v/>
      </c>
      <c r="AV26" s="3">
        <f>SUM(AV15:AV20)+AV23+AV24+AV25</f>
        <v/>
      </c>
      <c r="AW26" s="3">
        <f>SUM(AW15:AW20)+AW23+AW24+AW25</f>
        <v/>
      </c>
      <c r="AX26" s="3">
        <f>SUM(AX15:AX20)+AX23+AX24+AX25</f>
        <v/>
      </c>
      <c r="AY26" s="3">
        <f>SUM(AY15:AY20)+AY23+AY24+AY25</f>
        <v/>
      </c>
      <c r="AZ26" s="3">
        <f>SUM(AZ15:AZ20)+AZ23+AZ24+AZ25</f>
        <v/>
      </c>
      <c r="BA26" s="3">
        <f>SUM(BA15:BA20)+BA23+BA24+BA25</f>
        <v/>
      </c>
      <c r="BB26" s="3">
        <f>SUM(BB15:BB20)+BB23+BB24+BB25</f>
        <v/>
      </c>
      <c r="BC26" s="3">
        <f>SUM(BC15:BC20)+BC23+BC24+BC25</f>
        <v/>
      </c>
      <c r="BD26" s="3">
        <f>SUM(BD15:BD20)+BD23+BD24+BD25</f>
        <v/>
      </c>
      <c r="BE26" s="3">
        <f>SUM(BE15:BE20)+BE23+BE24+BE25</f>
        <v/>
      </c>
      <c r="BF26" s="3">
        <f>SUM(BF15:BF20)+BF23+BF24+BF25</f>
        <v/>
      </c>
      <c r="BG26" s="3">
        <f>SUM(BG15:BG20)+BG23+BG24+BG25</f>
        <v/>
      </c>
      <c r="BH26" s="3">
        <f>SUM(BH15:BH20)+BH23+BH24+BH25</f>
        <v/>
      </c>
      <c r="BI26" s="3">
        <f>SUM(BI15:BI20)+BI23+BI24+BI25</f>
        <v/>
      </c>
      <c r="BJ26" s="3">
        <f>SUM(BJ15:BJ20)+BJ23+BJ24+BJ25</f>
        <v/>
      </c>
    </row>
    <row r="27">
      <c r="A27" s="18" t="inlineStr">
        <is>
          <t>EBITDA</t>
        </is>
      </c>
      <c r="C27" s="3">
        <f>C14-C26</f>
        <v/>
      </c>
      <c r="D27" s="3">
        <f>D14-D26</f>
        <v/>
      </c>
      <c r="E27" s="3">
        <f>E14-E26</f>
        <v/>
      </c>
      <c r="F27" s="3">
        <f>F14-F26</f>
        <v/>
      </c>
      <c r="G27" s="3">
        <f>G14-G26</f>
        <v/>
      </c>
      <c r="H27" s="3">
        <f>H14-H26</f>
        <v/>
      </c>
      <c r="I27" s="3">
        <f>I14-I26</f>
        <v/>
      </c>
      <c r="J27" s="3">
        <f>J14-J26</f>
        <v/>
      </c>
      <c r="K27" s="3">
        <f>K14-K26</f>
        <v/>
      </c>
      <c r="L27" s="3">
        <f>L14-L26</f>
        <v/>
      </c>
      <c r="M27" s="3">
        <f>M14-M26</f>
        <v/>
      </c>
      <c r="N27" s="3">
        <f>N14-N26</f>
        <v/>
      </c>
      <c r="O27" s="3">
        <f>O14-O26</f>
        <v/>
      </c>
      <c r="P27" s="3">
        <f>P14-P26</f>
        <v/>
      </c>
      <c r="Q27" s="3">
        <f>Q14-Q26</f>
        <v/>
      </c>
      <c r="R27" s="3">
        <f>R14-R26</f>
        <v/>
      </c>
      <c r="S27" s="3">
        <f>S14-S26</f>
        <v/>
      </c>
      <c r="T27" s="3">
        <f>T14-T26</f>
        <v/>
      </c>
      <c r="U27" s="3">
        <f>U14-U26</f>
        <v/>
      </c>
      <c r="V27" s="3">
        <f>V14-V26</f>
        <v/>
      </c>
      <c r="W27" s="3">
        <f>W14-W26</f>
        <v/>
      </c>
      <c r="X27" s="3">
        <f>X14-X26</f>
        <v/>
      </c>
      <c r="Y27" s="3">
        <f>Y14-Y26</f>
        <v/>
      </c>
      <c r="Z27" s="3">
        <f>Z14-Z26</f>
        <v/>
      </c>
      <c r="AA27" s="3">
        <f>AA14-AA26</f>
        <v/>
      </c>
      <c r="AB27" s="3">
        <f>AB14-AB26</f>
        <v/>
      </c>
      <c r="AC27" s="3">
        <f>AC14-AC26</f>
        <v/>
      </c>
      <c r="AD27" s="3">
        <f>AD14-AD26</f>
        <v/>
      </c>
      <c r="AE27" s="3">
        <f>AE14-AE26</f>
        <v/>
      </c>
      <c r="AF27" s="3">
        <f>AF14-AF26</f>
        <v/>
      </c>
      <c r="AG27" s="3">
        <f>AG14-AG26</f>
        <v/>
      </c>
      <c r="AH27" s="3">
        <f>AH14-AH26</f>
        <v/>
      </c>
      <c r="AI27" s="3">
        <f>AI14-AI26</f>
        <v/>
      </c>
      <c r="AJ27" s="3">
        <f>AJ14-AJ26</f>
        <v/>
      </c>
      <c r="AK27" s="3">
        <f>AK14-AK26</f>
        <v/>
      </c>
      <c r="AL27" s="3">
        <f>AL14-AL26</f>
        <v/>
      </c>
      <c r="AM27" s="3">
        <f>AM14-AM26</f>
        <v/>
      </c>
      <c r="AN27" s="3">
        <f>AN14-AN26</f>
        <v/>
      </c>
      <c r="AO27" s="3">
        <f>AO14-AO26</f>
        <v/>
      </c>
      <c r="AP27" s="3">
        <f>AP14-AP26</f>
        <v/>
      </c>
      <c r="AQ27" s="3">
        <f>AQ14-AQ26</f>
        <v/>
      </c>
      <c r="AR27" s="3">
        <f>AR14-AR26</f>
        <v/>
      </c>
      <c r="AS27" s="3">
        <f>AS14-AS26</f>
        <v/>
      </c>
      <c r="AT27" s="3">
        <f>AT14-AT26</f>
        <v/>
      </c>
      <c r="AU27" s="3">
        <f>AU14-AU26</f>
        <v/>
      </c>
      <c r="AV27" s="3">
        <f>AV14-AV26</f>
        <v/>
      </c>
      <c r="AW27" s="3">
        <f>AW14-AW26</f>
        <v/>
      </c>
      <c r="AX27" s="3">
        <f>AX14-AX26</f>
        <v/>
      </c>
      <c r="AY27" s="3">
        <f>AY14-AY26</f>
        <v/>
      </c>
      <c r="AZ27" s="3">
        <f>AZ14-AZ26</f>
        <v/>
      </c>
      <c r="BA27" s="3">
        <f>BA14-BA26</f>
        <v/>
      </c>
      <c r="BB27" s="3">
        <f>BB14-BB26</f>
        <v/>
      </c>
      <c r="BC27" s="3">
        <f>BC14-BC26</f>
        <v/>
      </c>
      <c r="BD27" s="3">
        <f>BD14-BD26</f>
        <v/>
      </c>
      <c r="BE27" s="3">
        <f>BE14-BE26</f>
        <v/>
      </c>
      <c r="BF27" s="3">
        <f>BF14-BF26</f>
        <v/>
      </c>
      <c r="BG27" s="3">
        <f>BG14-BG26</f>
        <v/>
      </c>
      <c r="BH27" s="3">
        <f>BH14-BH26</f>
        <v/>
      </c>
      <c r="BI27" s="3">
        <f>BI14-BI26</f>
        <v/>
      </c>
      <c r="BJ27" s="3">
        <f>BJ14-BJ26</f>
        <v/>
      </c>
    </row>
    <row r="28">
      <c r="A28" t="inlineStr">
        <is>
          <t>Depreciation</t>
        </is>
      </c>
      <c r="C28" s="3">
        <f>IF(AND(Inputs!$E$84&gt;0,C3&lt;=Inputs!$E$84*12),INDEX(Capex!$C$19:$E$19,1,Inputs!$E$13)/MAX(Inputs!$E$84,1)/12,0)+IF(AND(Inputs!$E$85&gt;0,C3&lt;=Inputs!$E$85*12),INDEX(Capex!$C$20:$E$20,1,Inputs!$E$13)/MAX(Inputs!$E$85,1)/12,0)+IF(AND(Inputs!$E$86&gt;0,C3&lt;=Inputs!$E$86*12),INDEX(Capex!$C$21:$E$21,1,Inputs!$E$13)/MAX(Inputs!$E$86,1)/12,0)+IF(AND(Inputs!$E$87&gt;0,C3&lt;=Inputs!$E$87*12),INDEX(Capex!$C$22:$E$22,1,Inputs!$E$13)/MAX(Inputs!$E$87,1)/12,0)+IF(AND(Inputs!$E$88&gt;0,C3&lt;=Inputs!$E$88*12),INDEX(Capex!$C$23:$E$23,1,Inputs!$E$13)/MAX(Inputs!$E$88,1)/12,0)+IF(AND(Inputs!$E$89&gt;0,C3&lt;=Inputs!$E$89*12),INDEX(Capex!$C$24:$E$24,1,Inputs!$E$13)/MAX(Inputs!$E$89,1)/12,0)+IF(AND(Inputs!$E$90&gt;0,C3&lt;=Inputs!$E$90*12),INDEX(Capex!$C$25:$E$25,1,Inputs!$E$13)/MAX(Inputs!$E$90,1)/12,0)</f>
        <v/>
      </c>
      <c r="D28" s="3">
        <f>IF(AND(Inputs!$E$84&gt;0,D3&lt;=Inputs!$E$84*12),INDEX(Capex!$C$19:$E$19,1,Inputs!$E$13)/MAX(Inputs!$E$84,1)/12,0)+IF(AND(Inputs!$E$85&gt;0,D3&lt;=Inputs!$E$85*12),INDEX(Capex!$C$20:$E$20,1,Inputs!$E$13)/MAX(Inputs!$E$85,1)/12,0)+IF(AND(Inputs!$E$86&gt;0,D3&lt;=Inputs!$E$86*12),INDEX(Capex!$C$21:$E$21,1,Inputs!$E$13)/MAX(Inputs!$E$86,1)/12,0)+IF(AND(Inputs!$E$87&gt;0,D3&lt;=Inputs!$E$87*12),INDEX(Capex!$C$22:$E$22,1,Inputs!$E$13)/MAX(Inputs!$E$87,1)/12,0)+IF(AND(Inputs!$E$88&gt;0,D3&lt;=Inputs!$E$88*12),INDEX(Capex!$C$23:$E$23,1,Inputs!$E$13)/MAX(Inputs!$E$88,1)/12,0)+IF(AND(Inputs!$E$89&gt;0,D3&lt;=Inputs!$E$89*12),INDEX(Capex!$C$24:$E$24,1,Inputs!$E$13)/MAX(Inputs!$E$89,1)/12,0)+IF(AND(Inputs!$E$90&gt;0,D3&lt;=Inputs!$E$90*12),INDEX(Capex!$C$25:$E$25,1,Inputs!$E$13)/MAX(Inputs!$E$90,1)/12,0)</f>
        <v/>
      </c>
      <c r="E28" s="3">
        <f>IF(AND(Inputs!$E$84&gt;0,E3&lt;=Inputs!$E$84*12),INDEX(Capex!$C$19:$E$19,1,Inputs!$E$13)/MAX(Inputs!$E$84,1)/12,0)+IF(AND(Inputs!$E$85&gt;0,E3&lt;=Inputs!$E$85*12),INDEX(Capex!$C$20:$E$20,1,Inputs!$E$13)/MAX(Inputs!$E$85,1)/12,0)+IF(AND(Inputs!$E$86&gt;0,E3&lt;=Inputs!$E$86*12),INDEX(Capex!$C$21:$E$21,1,Inputs!$E$13)/MAX(Inputs!$E$86,1)/12,0)+IF(AND(Inputs!$E$87&gt;0,E3&lt;=Inputs!$E$87*12),INDEX(Capex!$C$22:$E$22,1,Inputs!$E$13)/MAX(Inputs!$E$87,1)/12,0)+IF(AND(Inputs!$E$88&gt;0,E3&lt;=Inputs!$E$88*12),INDEX(Capex!$C$23:$E$23,1,Inputs!$E$13)/MAX(Inputs!$E$88,1)/12,0)+IF(AND(Inputs!$E$89&gt;0,E3&lt;=Inputs!$E$89*12),INDEX(Capex!$C$24:$E$24,1,Inputs!$E$13)/MAX(Inputs!$E$89,1)/12,0)+IF(AND(Inputs!$E$90&gt;0,E3&lt;=Inputs!$E$90*12),INDEX(Capex!$C$25:$E$25,1,Inputs!$E$13)/MAX(Inputs!$E$90,1)/12,0)</f>
        <v/>
      </c>
      <c r="F28" s="3">
        <f>IF(AND(Inputs!$E$84&gt;0,F3&lt;=Inputs!$E$84*12),INDEX(Capex!$C$19:$E$19,1,Inputs!$E$13)/MAX(Inputs!$E$84,1)/12,0)+IF(AND(Inputs!$E$85&gt;0,F3&lt;=Inputs!$E$85*12),INDEX(Capex!$C$20:$E$20,1,Inputs!$E$13)/MAX(Inputs!$E$85,1)/12,0)+IF(AND(Inputs!$E$86&gt;0,F3&lt;=Inputs!$E$86*12),INDEX(Capex!$C$21:$E$21,1,Inputs!$E$13)/MAX(Inputs!$E$86,1)/12,0)+IF(AND(Inputs!$E$87&gt;0,F3&lt;=Inputs!$E$87*12),INDEX(Capex!$C$22:$E$22,1,Inputs!$E$13)/MAX(Inputs!$E$87,1)/12,0)+IF(AND(Inputs!$E$88&gt;0,F3&lt;=Inputs!$E$88*12),INDEX(Capex!$C$23:$E$23,1,Inputs!$E$13)/MAX(Inputs!$E$88,1)/12,0)+IF(AND(Inputs!$E$89&gt;0,F3&lt;=Inputs!$E$89*12),INDEX(Capex!$C$24:$E$24,1,Inputs!$E$13)/MAX(Inputs!$E$89,1)/12,0)+IF(AND(Inputs!$E$90&gt;0,F3&lt;=Inputs!$E$90*12),INDEX(Capex!$C$25:$E$25,1,Inputs!$E$13)/MAX(Inputs!$E$90,1)/12,0)</f>
        <v/>
      </c>
      <c r="G28" s="3">
        <f>IF(AND(Inputs!$E$84&gt;0,G3&lt;=Inputs!$E$84*12),INDEX(Capex!$C$19:$E$19,1,Inputs!$E$13)/MAX(Inputs!$E$84,1)/12,0)+IF(AND(Inputs!$E$85&gt;0,G3&lt;=Inputs!$E$85*12),INDEX(Capex!$C$20:$E$20,1,Inputs!$E$13)/MAX(Inputs!$E$85,1)/12,0)+IF(AND(Inputs!$E$86&gt;0,G3&lt;=Inputs!$E$86*12),INDEX(Capex!$C$21:$E$21,1,Inputs!$E$13)/MAX(Inputs!$E$86,1)/12,0)+IF(AND(Inputs!$E$87&gt;0,G3&lt;=Inputs!$E$87*12),INDEX(Capex!$C$22:$E$22,1,Inputs!$E$13)/MAX(Inputs!$E$87,1)/12,0)+IF(AND(Inputs!$E$88&gt;0,G3&lt;=Inputs!$E$88*12),INDEX(Capex!$C$23:$E$23,1,Inputs!$E$13)/MAX(Inputs!$E$88,1)/12,0)+IF(AND(Inputs!$E$89&gt;0,G3&lt;=Inputs!$E$89*12),INDEX(Capex!$C$24:$E$24,1,Inputs!$E$13)/MAX(Inputs!$E$89,1)/12,0)+IF(AND(Inputs!$E$90&gt;0,G3&lt;=Inputs!$E$90*12),INDEX(Capex!$C$25:$E$25,1,Inputs!$E$13)/MAX(Inputs!$E$90,1)/12,0)</f>
        <v/>
      </c>
      <c r="H28" s="3">
        <f>IF(AND(Inputs!$E$84&gt;0,H3&lt;=Inputs!$E$84*12),INDEX(Capex!$C$19:$E$19,1,Inputs!$E$13)/MAX(Inputs!$E$84,1)/12,0)+IF(AND(Inputs!$E$85&gt;0,H3&lt;=Inputs!$E$85*12),INDEX(Capex!$C$20:$E$20,1,Inputs!$E$13)/MAX(Inputs!$E$85,1)/12,0)+IF(AND(Inputs!$E$86&gt;0,H3&lt;=Inputs!$E$86*12),INDEX(Capex!$C$21:$E$21,1,Inputs!$E$13)/MAX(Inputs!$E$86,1)/12,0)+IF(AND(Inputs!$E$87&gt;0,H3&lt;=Inputs!$E$87*12),INDEX(Capex!$C$22:$E$22,1,Inputs!$E$13)/MAX(Inputs!$E$87,1)/12,0)+IF(AND(Inputs!$E$88&gt;0,H3&lt;=Inputs!$E$88*12),INDEX(Capex!$C$23:$E$23,1,Inputs!$E$13)/MAX(Inputs!$E$88,1)/12,0)+IF(AND(Inputs!$E$89&gt;0,H3&lt;=Inputs!$E$89*12),INDEX(Capex!$C$24:$E$24,1,Inputs!$E$13)/MAX(Inputs!$E$89,1)/12,0)+IF(AND(Inputs!$E$90&gt;0,H3&lt;=Inputs!$E$90*12),INDEX(Capex!$C$25:$E$25,1,Inputs!$E$13)/MAX(Inputs!$E$90,1)/12,0)</f>
        <v/>
      </c>
      <c r="I28" s="3">
        <f>IF(AND(Inputs!$E$84&gt;0,I3&lt;=Inputs!$E$84*12),INDEX(Capex!$C$19:$E$19,1,Inputs!$E$13)/MAX(Inputs!$E$84,1)/12,0)+IF(AND(Inputs!$E$85&gt;0,I3&lt;=Inputs!$E$85*12),INDEX(Capex!$C$20:$E$20,1,Inputs!$E$13)/MAX(Inputs!$E$85,1)/12,0)+IF(AND(Inputs!$E$86&gt;0,I3&lt;=Inputs!$E$86*12),INDEX(Capex!$C$21:$E$21,1,Inputs!$E$13)/MAX(Inputs!$E$86,1)/12,0)+IF(AND(Inputs!$E$87&gt;0,I3&lt;=Inputs!$E$87*12),INDEX(Capex!$C$22:$E$22,1,Inputs!$E$13)/MAX(Inputs!$E$87,1)/12,0)+IF(AND(Inputs!$E$88&gt;0,I3&lt;=Inputs!$E$88*12),INDEX(Capex!$C$23:$E$23,1,Inputs!$E$13)/MAX(Inputs!$E$88,1)/12,0)+IF(AND(Inputs!$E$89&gt;0,I3&lt;=Inputs!$E$89*12),INDEX(Capex!$C$24:$E$24,1,Inputs!$E$13)/MAX(Inputs!$E$89,1)/12,0)+IF(AND(Inputs!$E$90&gt;0,I3&lt;=Inputs!$E$90*12),INDEX(Capex!$C$25:$E$25,1,Inputs!$E$13)/MAX(Inputs!$E$90,1)/12,0)</f>
        <v/>
      </c>
      <c r="J28" s="3">
        <f>IF(AND(Inputs!$E$84&gt;0,J3&lt;=Inputs!$E$84*12),INDEX(Capex!$C$19:$E$19,1,Inputs!$E$13)/MAX(Inputs!$E$84,1)/12,0)+IF(AND(Inputs!$E$85&gt;0,J3&lt;=Inputs!$E$85*12),INDEX(Capex!$C$20:$E$20,1,Inputs!$E$13)/MAX(Inputs!$E$85,1)/12,0)+IF(AND(Inputs!$E$86&gt;0,J3&lt;=Inputs!$E$86*12),INDEX(Capex!$C$21:$E$21,1,Inputs!$E$13)/MAX(Inputs!$E$86,1)/12,0)+IF(AND(Inputs!$E$87&gt;0,J3&lt;=Inputs!$E$87*12),INDEX(Capex!$C$22:$E$22,1,Inputs!$E$13)/MAX(Inputs!$E$87,1)/12,0)+IF(AND(Inputs!$E$88&gt;0,J3&lt;=Inputs!$E$88*12),INDEX(Capex!$C$23:$E$23,1,Inputs!$E$13)/MAX(Inputs!$E$88,1)/12,0)+IF(AND(Inputs!$E$89&gt;0,J3&lt;=Inputs!$E$89*12),INDEX(Capex!$C$24:$E$24,1,Inputs!$E$13)/MAX(Inputs!$E$89,1)/12,0)+IF(AND(Inputs!$E$90&gt;0,J3&lt;=Inputs!$E$90*12),INDEX(Capex!$C$25:$E$25,1,Inputs!$E$13)/MAX(Inputs!$E$90,1)/12,0)</f>
        <v/>
      </c>
      <c r="K28" s="3">
        <f>IF(AND(Inputs!$E$84&gt;0,K3&lt;=Inputs!$E$84*12),INDEX(Capex!$C$19:$E$19,1,Inputs!$E$13)/MAX(Inputs!$E$84,1)/12,0)+IF(AND(Inputs!$E$85&gt;0,K3&lt;=Inputs!$E$85*12),INDEX(Capex!$C$20:$E$20,1,Inputs!$E$13)/MAX(Inputs!$E$85,1)/12,0)+IF(AND(Inputs!$E$86&gt;0,K3&lt;=Inputs!$E$86*12),INDEX(Capex!$C$21:$E$21,1,Inputs!$E$13)/MAX(Inputs!$E$86,1)/12,0)+IF(AND(Inputs!$E$87&gt;0,K3&lt;=Inputs!$E$87*12),INDEX(Capex!$C$22:$E$22,1,Inputs!$E$13)/MAX(Inputs!$E$87,1)/12,0)+IF(AND(Inputs!$E$88&gt;0,K3&lt;=Inputs!$E$88*12),INDEX(Capex!$C$23:$E$23,1,Inputs!$E$13)/MAX(Inputs!$E$88,1)/12,0)+IF(AND(Inputs!$E$89&gt;0,K3&lt;=Inputs!$E$89*12),INDEX(Capex!$C$24:$E$24,1,Inputs!$E$13)/MAX(Inputs!$E$89,1)/12,0)+IF(AND(Inputs!$E$90&gt;0,K3&lt;=Inputs!$E$90*12),INDEX(Capex!$C$25:$E$25,1,Inputs!$E$13)/MAX(Inputs!$E$90,1)/12,0)</f>
        <v/>
      </c>
      <c r="L28" s="3">
        <f>IF(AND(Inputs!$E$84&gt;0,L3&lt;=Inputs!$E$84*12),INDEX(Capex!$C$19:$E$19,1,Inputs!$E$13)/MAX(Inputs!$E$84,1)/12,0)+IF(AND(Inputs!$E$85&gt;0,L3&lt;=Inputs!$E$85*12),INDEX(Capex!$C$20:$E$20,1,Inputs!$E$13)/MAX(Inputs!$E$85,1)/12,0)+IF(AND(Inputs!$E$86&gt;0,L3&lt;=Inputs!$E$86*12),INDEX(Capex!$C$21:$E$21,1,Inputs!$E$13)/MAX(Inputs!$E$86,1)/12,0)+IF(AND(Inputs!$E$87&gt;0,L3&lt;=Inputs!$E$87*12),INDEX(Capex!$C$22:$E$22,1,Inputs!$E$13)/MAX(Inputs!$E$87,1)/12,0)+IF(AND(Inputs!$E$88&gt;0,L3&lt;=Inputs!$E$88*12),INDEX(Capex!$C$23:$E$23,1,Inputs!$E$13)/MAX(Inputs!$E$88,1)/12,0)+IF(AND(Inputs!$E$89&gt;0,L3&lt;=Inputs!$E$89*12),INDEX(Capex!$C$24:$E$24,1,Inputs!$E$13)/MAX(Inputs!$E$89,1)/12,0)+IF(AND(Inputs!$E$90&gt;0,L3&lt;=Inputs!$E$90*12),INDEX(Capex!$C$25:$E$25,1,Inputs!$E$13)/MAX(Inputs!$E$90,1)/12,0)</f>
        <v/>
      </c>
      <c r="M28" s="3">
        <f>IF(AND(Inputs!$E$84&gt;0,M3&lt;=Inputs!$E$84*12),INDEX(Capex!$C$19:$E$19,1,Inputs!$E$13)/MAX(Inputs!$E$84,1)/12,0)+IF(AND(Inputs!$E$85&gt;0,M3&lt;=Inputs!$E$85*12),INDEX(Capex!$C$20:$E$20,1,Inputs!$E$13)/MAX(Inputs!$E$85,1)/12,0)+IF(AND(Inputs!$E$86&gt;0,M3&lt;=Inputs!$E$86*12),INDEX(Capex!$C$21:$E$21,1,Inputs!$E$13)/MAX(Inputs!$E$86,1)/12,0)+IF(AND(Inputs!$E$87&gt;0,M3&lt;=Inputs!$E$87*12),INDEX(Capex!$C$22:$E$22,1,Inputs!$E$13)/MAX(Inputs!$E$87,1)/12,0)+IF(AND(Inputs!$E$88&gt;0,M3&lt;=Inputs!$E$88*12),INDEX(Capex!$C$23:$E$23,1,Inputs!$E$13)/MAX(Inputs!$E$88,1)/12,0)+IF(AND(Inputs!$E$89&gt;0,M3&lt;=Inputs!$E$89*12),INDEX(Capex!$C$24:$E$24,1,Inputs!$E$13)/MAX(Inputs!$E$89,1)/12,0)+IF(AND(Inputs!$E$90&gt;0,M3&lt;=Inputs!$E$90*12),INDEX(Capex!$C$25:$E$25,1,Inputs!$E$13)/MAX(Inputs!$E$90,1)/12,0)</f>
        <v/>
      </c>
      <c r="N28" s="3">
        <f>IF(AND(Inputs!$E$84&gt;0,N3&lt;=Inputs!$E$84*12),INDEX(Capex!$C$19:$E$19,1,Inputs!$E$13)/MAX(Inputs!$E$84,1)/12,0)+IF(AND(Inputs!$E$85&gt;0,N3&lt;=Inputs!$E$85*12),INDEX(Capex!$C$20:$E$20,1,Inputs!$E$13)/MAX(Inputs!$E$85,1)/12,0)+IF(AND(Inputs!$E$86&gt;0,N3&lt;=Inputs!$E$86*12),INDEX(Capex!$C$21:$E$21,1,Inputs!$E$13)/MAX(Inputs!$E$86,1)/12,0)+IF(AND(Inputs!$E$87&gt;0,N3&lt;=Inputs!$E$87*12),INDEX(Capex!$C$22:$E$22,1,Inputs!$E$13)/MAX(Inputs!$E$87,1)/12,0)+IF(AND(Inputs!$E$88&gt;0,N3&lt;=Inputs!$E$88*12),INDEX(Capex!$C$23:$E$23,1,Inputs!$E$13)/MAX(Inputs!$E$88,1)/12,0)+IF(AND(Inputs!$E$89&gt;0,N3&lt;=Inputs!$E$89*12),INDEX(Capex!$C$24:$E$24,1,Inputs!$E$13)/MAX(Inputs!$E$89,1)/12,0)+IF(AND(Inputs!$E$90&gt;0,N3&lt;=Inputs!$E$90*12),INDEX(Capex!$C$25:$E$25,1,Inputs!$E$13)/MAX(Inputs!$E$90,1)/12,0)</f>
        <v/>
      </c>
      <c r="O28" s="3">
        <f>IF(AND(Inputs!$E$84&gt;0,O3&lt;=Inputs!$E$84*12),INDEX(Capex!$C$19:$E$19,1,Inputs!$E$13)/MAX(Inputs!$E$84,1)/12,0)+IF(AND(Inputs!$E$85&gt;0,O3&lt;=Inputs!$E$85*12),INDEX(Capex!$C$20:$E$20,1,Inputs!$E$13)/MAX(Inputs!$E$85,1)/12,0)+IF(AND(Inputs!$E$86&gt;0,O3&lt;=Inputs!$E$86*12),INDEX(Capex!$C$21:$E$21,1,Inputs!$E$13)/MAX(Inputs!$E$86,1)/12,0)+IF(AND(Inputs!$E$87&gt;0,O3&lt;=Inputs!$E$87*12),INDEX(Capex!$C$22:$E$22,1,Inputs!$E$13)/MAX(Inputs!$E$87,1)/12,0)+IF(AND(Inputs!$E$88&gt;0,O3&lt;=Inputs!$E$88*12),INDEX(Capex!$C$23:$E$23,1,Inputs!$E$13)/MAX(Inputs!$E$88,1)/12,0)+IF(AND(Inputs!$E$89&gt;0,O3&lt;=Inputs!$E$89*12),INDEX(Capex!$C$24:$E$24,1,Inputs!$E$13)/MAX(Inputs!$E$89,1)/12,0)+IF(AND(Inputs!$E$90&gt;0,O3&lt;=Inputs!$E$90*12),INDEX(Capex!$C$25:$E$25,1,Inputs!$E$13)/MAX(Inputs!$E$90,1)/12,0)</f>
        <v/>
      </c>
      <c r="P28" s="3">
        <f>IF(AND(Inputs!$E$84&gt;0,P3&lt;=Inputs!$E$84*12),INDEX(Capex!$C$19:$E$19,1,Inputs!$E$13)/MAX(Inputs!$E$84,1)/12,0)+IF(AND(Inputs!$E$85&gt;0,P3&lt;=Inputs!$E$85*12),INDEX(Capex!$C$20:$E$20,1,Inputs!$E$13)/MAX(Inputs!$E$85,1)/12,0)+IF(AND(Inputs!$E$86&gt;0,P3&lt;=Inputs!$E$86*12),INDEX(Capex!$C$21:$E$21,1,Inputs!$E$13)/MAX(Inputs!$E$86,1)/12,0)+IF(AND(Inputs!$E$87&gt;0,P3&lt;=Inputs!$E$87*12),INDEX(Capex!$C$22:$E$22,1,Inputs!$E$13)/MAX(Inputs!$E$87,1)/12,0)+IF(AND(Inputs!$E$88&gt;0,P3&lt;=Inputs!$E$88*12),INDEX(Capex!$C$23:$E$23,1,Inputs!$E$13)/MAX(Inputs!$E$88,1)/12,0)+IF(AND(Inputs!$E$89&gt;0,P3&lt;=Inputs!$E$89*12),INDEX(Capex!$C$24:$E$24,1,Inputs!$E$13)/MAX(Inputs!$E$89,1)/12,0)+IF(AND(Inputs!$E$90&gt;0,P3&lt;=Inputs!$E$90*12),INDEX(Capex!$C$25:$E$25,1,Inputs!$E$13)/MAX(Inputs!$E$90,1)/12,0)</f>
        <v/>
      </c>
      <c r="Q28" s="3">
        <f>IF(AND(Inputs!$E$84&gt;0,Q3&lt;=Inputs!$E$84*12),INDEX(Capex!$C$19:$E$19,1,Inputs!$E$13)/MAX(Inputs!$E$84,1)/12,0)+IF(AND(Inputs!$E$85&gt;0,Q3&lt;=Inputs!$E$85*12),INDEX(Capex!$C$20:$E$20,1,Inputs!$E$13)/MAX(Inputs!$E$85,1)/12,0)+IF(AND(Inputs!$E$86&gt;0,Q3&lt;=Inputs!$E$86*12),INDEX(Capex!$C$21:$E$21,1,Inputs!$E$13)/MAX(Inputs!$E$86,1)/12,0)+IF(AND(Inputs!$E$87&gt;0,Q3&lt;=Inputs!$E$87*12),INDEX(Capex!$C$22:$E$22,1,Inputs!$E$13)/MAX(Inputs!$E$87,1)/12,0)+IF(AND(Inputs!$E$88&gt;0,Q3&lt;=Inputs!$E$88*12),INDEX(Capex!$C$23:$E$23,1,Inputs!$E$13)/MAX(Inputs!$E$88,1)/12,0)+IF(AND(Inputs!$E$89&gt;0,Q3&lt;=Inputs!$E$89*12),INDEX(Capex!$C$24:$E$24,1,Inputs!$E$13)/MAX(Inputs!$E$89,1)/12,0)+IF(AND(Inputs!$E$90&gt;0,Q3&lt;=Inputs!$E$90*12),INDEX(Capex!$C$25:$E$25,1,Inputs!$E$13)/MAX(Inputs!$E$90,1)/12,0)</f>
        <v/>
      </c>
      <c r="R28" s="3">
        <f>IF(AND(Inputs!$E$84&gt;0,R3&lt;=Inputs!$E$84*12),INDEX(Capex!$C$19:$E$19,1,Inputs!$E$13)/MAX(Inputs!$E$84,1)/12,0)+IF(AND(Inputs!$E$85&gt;0,R3&lt;=Inputs!$E$85*12),INDEX(Capex!$C$20:$E$20,1,Inputs!$E$13)/MAX(Inputs!$E$85,1)/12,0)+IF(AND(Inputs!$E$86&gt;0,R3&lt;=Inputs!$E$86*12),INDEX(Capex!$C$21:$E$21,1,Inputs!$E$13)/MAX(Inputs!$E$86,1)/12,0)+IF(AND(Inputs!$E$87&gt;0,R3&lt;=Inputs!$E$87*12),INDEX(Capex!$C$22:$E$22,1,Inputs!$E$13)/MAX(Inputs!$E$87,1)/12,0)+IF(AND(Inputs!$E$88&gt;0,R3&lt;=Inputs!$E$88*12),INDEX(Capex!$C$23:$E$23,1,Inputs!$E$13)/MAX(Inputs!$E$88,1)/12,0)+IF(AND(Inputs!$E$89&gt;0,R3&lt;=Inputs!$E$89*12),INDEX(Capex!$C$24:$E$24,1,Inputs!$E$13)/MAX(Inputs!$E$89,1)/12,0)+IF(AND(Inputs!$E$90&gt;0,R3&lt;=Inputs!$E$90*12),INDEX(Capex!$C$25:$E$25,1,Inputs!$E$13)/MAX(Inputs!$E$90,1)/12,0)</f>
        <v/>
      </c>
      <c r="S28" s="3">
        <f>IF(AND(Inputs!$E$84&gt;0,S3&lt;=Inputs!$E$84*12),INDEX(Capex!$C$19:$E$19,1,Inputs!$E$13)/MAX(Inputs!$E$84,1)/12,0)+IF(AND(Inputs!$E$85&gt;0,S3&lt;=Inputs!$E$85*12),INDEX(Capex!$C$20:$E$20,1,Inputs!$E$13)/MAX(Inputs!$E$85,1)/12,0)+IF(AND(Inputs!$E$86&gt;0,S3&lt;=Inputs!$E$86*12),INDEX(Capex!$C$21:$E$21,1,Inputs!$E$13)/MAX(Inputs!$E$86,1)/12,0)+IF(AND(Inputs!$E$87&gt;0,S3&lt;=Inputs!$E$87*12),INDEX(Capex!$C$22:$E$22,1,Inputs!$E$13)/MAX(Inputs!$E$87,1)/12,0)+IF(AND(Inputs!$E$88&gt;0,S3&lt;=Inputs!$E$88*12),INDEX(Capex!$C$23:$E$23,1,Inputs!$E$13)/MAX(Inputs!$E$88,1)/12,0)+IF(AND(Inputs!$E$89&gt;0,S3&lt;=Inputs!$E$89*12),INDEX(Capex!$C$24:$E$24,1,Inputs!$E$13)/MAX(Inputs!$E$89,1)/12,0)+IF(AND(Inputs!$E$90&gt;0,S3&lt;=Inputs!$E$90*12),INDEX(Capex!$C$25:$E$25,1,Inputs!$E$13)/MAX(Inputs!$E$90,1)/12,0)</f>
        <v/>
      </c>
      <c r="T28" s="3">
        <f>IF(AND(Inputs!$E$84&gt;0,T3&lt;=Inputs!$E$84*12),INDEX(Capex!$C$19:$E$19,1,Inputs!$E$13)/MAX(Inputs!$E$84,1)/12,0)+IF(AND(Inputs!$E$85&gt;0,T3&lt;=Inputs!$E$85*12),INDEX(Capex!$C$20:$E$20,1,Inputs!$E$13)/MAX(Inputs!$E$85,1)/12,0)+IF(AND(Inputs!$E$86&gt;0,T3&lt;=Inputs!$E$86*12),INDEX(Capex!$C$21:$E$21,1,Inputs!$E$13)/MAX(Inputs!$E$86,1)/12,0)+IF(AND(Inputs!$E$87&gt;0,T3&lt;=Inputs!$E$87*12),INDEX(Capex!$C$22:$E$22,1,Inputs!$E$13)/MAX(Inputs!$E$87,1)/12,0)+IF(AND(Inputs!$E$88&gt;0,T3&lt;=Inputs!$E$88*12),INDEX(Capex!$C$23:$E$23,1,Inputs!$E$13)/MAX(Inputs!$E$88,1)/12,0)+IF(AND(Inputs!$E$89&gt;0,T3&lt;=Inputs!$E$89*12),INDEX(Capex!$C$24:$E$24,1,Inputs!$E$13)/MAX(Inputs!$E$89,1)/12,0)+IF(AND(Inputs!$E$90&gt;0,T3&lt;=Inputs!$E$90*12),INDEX(Capex!$C$25:$E$25,1,Inputs!$E$13)/MAX(Inputs!$E$90,1)/12,0)</f>
        <v/>
      </c>
      <c r="U28" s="3">
        <f>IF(AND(Inputs!$E$84&gt;0,U3&lt;=Inputs!$E$84*12),INDEX(Capex!$C$19:$E$19,1,Inputs!$E$13)/MAX(Inputs!$E$84,1)/12,0)+IF(AND(Inputs!$E$85&gt;0,U3&lt;=Inputs!$E$85*12),INDEX(Capex!$C$20:$E$20,1,Inputs!$E$13)/MAX(Inputs!$E$85,1)/12,0)+IF(AND(Inputs!$E$86&gt;0,U3&lt;=Inputs!$E$86*12),INDEX(Capex!$C$21:$E$21,1,Inputs!$E$13)/MAX(Inputs!$E$86,1)/12,0)+IF(AND(Inputs!$E$87&gt;0,U3&lt;=Inputs!$E$87*12),INDEX(Capex!$C$22:$E$22,1,Inputs!$E$13)/MAX(Inputs!$E$87,1)/12,0)+IF(AND(Inputs!$E$88&gt;0,U3&lt;=Inputs!$E$88*12),INDEX(Capex!$C$23:$E$23,1,Inputs!$E$13)/MAX(Inputs!$E$88,1)/12,0)+IF(AND(Inputs!$E$89&gt;0,U3&lt;=Inputs!$E$89*12),INDEX(Capex!$C$24:$E$24,1,Inputs!$E$13)/MAX(Inputs!$E$89,1)/12,0)+IF(AND(Inputs!$E$90&gt;0,U3&lt;=Inputs!$E$90*12),INDEX(Capex!$C$25:$E$25,1,Inputs!$E$13)/MAX(Inputs!$E$90,1)/12,0)</f>
        <v/>
      </c>
      <c r="V28" s="3">
        <f>IF(AND(Inputs!$E$84&gt;0,V3&lt;=Inputs!$E$84*12),INDEX(Capex!$C$19:$E$19,1,Inputs!$E$13)/MAX(Inputs!$E$84,1)/12,0)+IF(AND(Inputs!$E$85&gt;0,V3&lt;=Inputs!$E$85*12),INDEX(Capex!$C$20:$E$20,1,Inputs!$E$13)/MAX(Inputs!$E$85,1)/12,0)+IF(AND(Inputs!$E$86&gt;0,V3&lt;=Inputs!$E$86*12),INDEX(Capex!$C$21:$E$21,1,Inputs!$E$13)/MAX(Inputs!$E$86,1)/12,0)+IF(AND(Inputs!$E$87&gt;0,V3&lt;=Inputs!$E$87*12),INDEX(Capex!$C$22:$E$22,1,Inputs!$E$13)/MAX(Inputs!$E$87,1)/12,0)+IF(AND(Inputs!$E$88&gt;0,V3&lt;=Inputs!$E$88*12),INDEX(Capex!$C$23:$E$23,1,Inputs!$E$13)/MAX(Inputs!$E$88,1)/12,0)+IF(AND(Inputs!$E$89&gt;0,V3&lt;=Inputs!$E$89*12),INDEX(Capex!$C$24:$E$24,1,Inputs!$E$13)/MAX(Inputs!$E$89,1)/12,0)+IF(AND(Inputs!$E$90&gt;0,V3&lt;=Inputs!$E$90*12),INDEX(Capex!$C$25:$E$25,1,Inputs!$E$13)/MAX(Inputs!$E$90,1)/12,0)</f>
        <v/>
      </c>
      <c r="W28" s="3">
        <f>IF(AND(Inputs!$E$84&gt;0,W3&lt;=Inputs!$E$84*12),INDEX(Capex!$C$19:$E$19,1,Inputs!$E$13)/MAX(Inputs!$E$84,1)/12,0)+IF(AND(Inputs!$E$85&gt;0,W3&lt;=Inputs!$E$85*12),INDEX(Capex!$C$20:$E$20,1,Inputs!$E$13)/MAX(Inputs!$E$85,1)/12,0)+IF(AND(Inputs!$E$86&gt;0,W3&lt;=Inputs!$E$86*12),INDEX(Capex!$C$21:$E$21,1,Inputs!$E$13)/MAX(Inputs!$E$86,1)/12,0)+IF(AND(Inputs!$E$87&gt;0,W3&lt;=Inputs!$E$87*12),INDEX(Capex!$C$22:$E$22,1,Inputs!$E$13)/MAX(Inputs!$E$87,1)/12,0)+IF(AND(Inputs!$E$88&gt;0,W3&lt;=Inputs!$E$88*12),INDEX(Capex!$C$23:$E$23,1,Inputs!$E$13)/MAX(Inputs!$E$88,1)/12,0)+IF(AND(Inputs!$E$89&gt;0,W3&lt;=Inputs!$E$89*12),INDEX(Capex!$C$24:$E$24,1,Inputs!$E$13)/MAX(Inputs!$E$89,1)/12,0)+IF(AND(Inputs!$E$90&gt;0,W3&lt;=Inputs!$E$90*12),INDEX(Capex!$C$25:$E$25,1,Inputs!$E$13)/MAX(Inputs!$E$90,1)/12,0)</f>
        <v/>
      </c>
      <c r="X28" s="3">
        <f>IF(AND(Inputs!$E$84&gt;0,X3&lt;=Inputs!$E$84*12),INDEX(Capex!$C$19:$E$19,1,Inputs!$E$13)/MAX(Inputs!$E$84,1)/12,0)+IF(AND(Inputs!$E$85&gt;0,X3&lt;=Inputs!$E$85*12),INDEX(Capex!$C$20:$E$20,1,Inputs!$E$13)/MAX(Inputs!$E$85,1)/12,0)+IF(AND(Inputs!$E$86&gt;0,X3&lt;=Inputs!$E$86*12),INDEX(Capex!$C$21:$E$21,1,Inputs!$E$13)/MAX(Inputs!$E$86,1)/12,0)+IF(AND(Inputs!$E$87&gt;0,X3&lt;=Inputs!$E$87*12),INDEX(Capex!$C$22:$E$22,1,Inputs!$E$13)/MAX(Inputs!$E$87,1)/12,0)+IF(AND(Inputs!$E$88&gt;0,X3&lt;=Inputs!$E$88*12),INDEX(Capex!$C$23:$E$23,1,Inputs!$E$13)/MAX(Inputs!$E$88,1)/12,0)+IF(AND(Inputs!$E$89&gt;0,X3&lt;=Inputs!$E$89*12),INDEX(Capex!$C$24:$E$24,1,Inputs!$E$13)/MAX(Inputs!$E$89,1)/12,0)+IF(AND(Inputs!$E$90&gt;0,X3&lt;=Inputs!$E$90*12),INDEX(Capex!$C$25:$E$25,1,Inputs!$E$13)/MAX(Inputs!$E$90,1)/12,0)</f>
        <v/>
      </c>
      <c r="Y28" s="3">
        <f>IF(AND(Inputs!$E$84&gt;0,Y3&lt;=Inputs!$E$84*12),INDEX(Capex!$C$19:$E$19,1,Inputs!$E$13)/MAX(Inputs!$E$84,1)/12,0)+IF(AND(Inputs!$E$85&gt;0,Y3&lt;=Inputs!$E$85*12),INDEX(Capex!$C$20:$E$20,1,Inputs!$E$13)/MAX(Inputs!$E$85,1)/12,0)+IF(AND(Inputs!$E$86&gt;0,Y3&lt;=Inputs!$E$86*12),INDEX(Capex!$C$21:$E$21,1,Inputs!$E$13)/MAX(Inputs!$E$86,1)/12,0)+IF(AND(Inputs!$E$87&gt;0,Y3&lt;=Inputs!$E$87*12),INDEX(Capex!$C$22:$E$22,1,Inputs!$E$13)/MAX(Inputs!$E$87,1)/12,0)+IF(AND(Inputs!$E$88&gt;0,Y3&lt;=Inputs!$E$88*12),INDEX(Capex!$C$23:$E$23,1,Inputs!$E$13)/MAX(Inputs!$E$88,1)/12,0)+IF(AND(Inputs!$E$89&gt;0,Y3&lt;=Inputs!$E$89*12),INDEX(Capex!$C$24:$E$24,1,Inputs!$E$13)/MAX(Inputs!$E$89,1)/12,0)+IF(AND(Inputs!$E$90&gt;0,Y3&lt;=Inputs!$E$90*12),INDEX(Capex!$C$25:$E$25,1,Inputs!$E$13)/MAX(Inputs!$E$90,1)/12,0)</f>
        <v/>
      </c>
      <c r="Z28" s="3">
        <f>IF(AND(Inputs!$E$84&gt;0,Z3&lt;=Inputs!$E$84*12),INDEX(Capex!$C$19:$E$19,1,Inputs!$E$13)/MAX(Inputs!$E$84,1)/12,0)+IF(AND(Inputs!$E$85&gt;0,Z3&lt;=Inputs!$E$85*12),INDEX(Capex!$C$20:$E$20,1,Inputs!$E$13)/MAX(Inputs!$E$85,1)/12,0)+IF(AND(Inputs!$E$86&gt;0,Z3&lt;=Inputs!$E$86*12),INDEX(Capex!$C$21:$E$21,1,Inputs!$E$13)/MAX(Inputs!$E$86,1)/12,0)+IF(AND(Inputs!$E$87&gt;0,Z3&lt;=Inputs!$E$87*12),INDEX(Capex!$C$22:$E$22,1,Inputs!$E$13)/MAX(Inputs!$E$87,1)/12,0)+IF(AND(Inputs!$E$88&gt;0,Z3&lt;=Inputs!$E$88*12),INDEX(Capex!$C$23:$E$23,1,Inputs!$E$13)/MAX(Inputs!$E$88,1)/12,0)+IF(AND(Inputs!$E$89&gt;0,Z3&lt;=Inputs!$E$89*12),INDEX(Capex!$C$24:$E$24,1,Inputs!$E$13)/MAX(Inputs!$E$89,1)/12,0)+IF(AND(Inputs!$E$90&gt;0,Z3&lt;=Inputs!$E$90*12),INDEX(Capex!$C$25:$E$25,1,Inputs!$E$13)/MAX(Inputs!$E$90,1)/12,0)</f>
        <v/>
      </c>
      <c r="AA28" s="3">
        <f>IF(AND(Inputs!$E$84&gt;0,AA3&lt;=Inputs!$E$84*12),INDEX(Capex!$C$19:$E$19,1,Inputs!$E$13)/MAX(Inputs!$E$84,1)/12,0)+IF(AND(Inputs!$E$85&gt;0,AA3&lt;=Inputs!$E$85*12),INDEX(Capex!$C$20:$E$20,1,Inputs!$E$13)/MAX(Inputs!$E$85,1)/12,0)+IF(AND(Inputs!$E$86&gt;0,AA3&lt;=Inputs!$E$86*12),INDEX(Capex!$C$21:$E$21,1,Inputs!$E$13)/MAX(Inputs!$E$86,1)/12,0)+IF(AND(Inputs!$E$87&gt;0,AA3&lt;=Inputs!$E$87*12),INDEX(Capex!$C$22:$E$22,1,Inputs!$E$13)/MAX(Inputs!$E$87,1)/12,0)+IF(AND(Inputs!$E$88&gt;0,AA3&lt;=Inputs!$E$88*12),INDEX(Capex!$C$23:$E$23,1,Inputs!$E$13)/MAX(Inputs!$E$88,1)/12,0)+IF(AND(Inputs!$E$89&gt;0,AA3&lt;=Inputs!$E$89*12),INDEX(Capex!$C$24:$E$24,1,Inputs!$E$13)/MAX(Inputs!$E$89,1)/12,0)+IF(AND(Inputs!$E$90&gt;0,AA3&lt;=Inputs!$E$90*12),INDEX(Capex!$C$25:$E$25,1,Inputs!$E$13)/MAX(Inputs!$E$90,1)/12,0)</f>
        <v/>
      </c>
      <c r="AB28" s="3">
        <f>IF(AND(Inputs!$E$84&gt;0,AB3&lt;=Inputs!$E$84*12),INDEX(Capex!$C$19:$E$19,1,Inputs!$E$13)/MAX(Inputs!$E$84,1)/12,0)+IF(AND(Inputs!$E$85&gt;0,AB3&lt;=Inputs!$E$85*12),INDEX(Capex!$C$20:$E$20,1,Inputs!$E$13)/MAX(Inputs!$E$85,1)/12,0)+IF(AND(Inputs!$E$86&gt;0,AB3&lt;=Inputs!$E$86*12),INDEX(Capex!$C$21:$E$21,1,Inputs!$E$13)/MAX(Inputs!$E$86,1)/12,0)+IF(AND(Inputs!$E$87&gt;0,AB3&lt;=Inputs!$E$87*12),INDEX(Capex!$C$22:$E$22,1,Inputs!$E$13)/MAX(Inputs!$E$87,1)/12,0)+IF(AND(Inputs!$E$88&gt;0,AB3&lt;=Inputs!$E$88*12),INDEX(Capex!$C$23:$E$23,1,Inputs!$E$13)/MAX(Inputs!$E$88,1)/12,0)+IF(AND(Inputs!$E$89&gt;0,AB3&lt;=Inputs!$E$89*12),INDEX(Capex!$C$24:$E$24,1,Inputs!$E$13)/MAX(Inputs!$E$89,1)/12,0)+IF(AND(Inputs!$E$90&gt;0,AB3&lt;=Inputs!$E$90*12),INDEX(Capex!$C$25:$E$25,1,Inputs!$E$13)/MAX(Inputs!$E$90,1)/12,0)</f>
        <v/>
      </c>
      <c r="AC28" s="3">
        <f>IF(AND(Inputs!$E$84&gt;0,AC3&lt;=Inputs!$E$84*12),INDEX(Capex!$C$19:$E$19,1,Inputs!$E$13)/MAX(Inputs!$E$84,1)/12,0)+IF(AND(Inputs!$E$85&gt;0,AC3&lt;=Inputs!$E$85*12),INDEX(Capex!$C$20:$E$20,1,Inputs!$E$13)/MAX(Inputs!$E$85,1)/12,0)+IF(AND(Inputs!$E$86&gt;0,AC3&lt;=Inputs!$E$86*12),INDEX(Capex!$C$21:$E$21,1,Inputs!$E$13)/MAX(Inputs!$E$86,1)/12,0)+IF(AND(Inputs!$E$87&gt;0,AC3&lt;=Inputs!$E$87*12),INDEX(Capex!$C$22:$E$22,1,Inputs!$E$13)/MAX(Inputs!$E$87,1)/12,0)+IF(AND(Inputs!$E$88&gt;0,AC3&lt;=Inputs!$E$88*12),INDEX(Capex!$C$23:$E$23,1,Inputs!$E$13)/MAX(Inputs!$E$88,1)/12,0)+IF(AND(Inputs!$E$89&gt;0,AC3&lt;=Inputs!$E$89*12),INDEX(Capex!$C$24:$E$24,1,Inputs!$E$13)/MAX(Inputs!$E$89,1)/12,0)+IF(AND(Inputs!$E$90&gt;0,AC3&lt;=Inputs!$E$90*12),INDEX(Capex!$C$25:$E$25,1,Inputs!$E$13)/MAX(Inputs!$E$90,1)/12,0)</f>
        <v/>
      </c>
      <c r="AD28" s="3">
        <f>IF(AND(Inputs!$E$84&gt;0,AD3&lt;=Inputs!$E$84*12),INDEX(Capex!$C$19:$E$19,1,Inputs!$E$13)/MAX(Inputs!$E$84,1)/12,0)+IF(AND(Inputs!$E$85&gt;0,AD3&lt;=Inputs!$E$85*12),INDEX(Capex!$C$20:$E$20,1,Inputs!$E$13)/MAX(Inputs!$E$85,1)/12,0)+IF(AND(Inputs!$E$86&gt;0,AD3&lt;=Inputs!$E$86*12),INDEX(Capex!$C$21:$E$21,1,Inputs!$E$13)/MAX(Inputs!$E$86,1)/12,0)+IF(AND(Inputs!$E$87&gt;0,AD3&lt;=Inputs!$E$87*12),INDEX(Capex!$C$22:$E$22,1,Inputs!$E$13)/MAX(Inputs!$E$87,1)/12,0)+IF(AND(Inputs!$E$88&gt;0,AD3&lt;=Inputs!$E$88*12),INDEX(Capex!$C$23:$E$23,1,Inputs!$E$13)/MAX(Inputs!$E$88,1)/12,0)+IF(AND(Inputs!$E$89&gt;0,AD3&lt;=Inputs!$E$89*12),INDEX(Capex!$C$24:$E$24,1,Inputs!$E$13)/MAX(Inputs!$E$89,1)/12,0)+IF(AND(Inputs!$E$90&gt;0,AD3&lt;=Inputs!$E$90*12),INDEX(Capex!$C$25:$E$25,1,Inputs!$E$13)/MAX(Inputs!$E$90,1)/12,0)</f>
        <v/>
      </c>
      <c r="AE28" s="3">
        <f>IF(AND(Inputs!$E$84&gt;0,AE3&lt;=Inputs!$E$84*12),INDEX(Capex!$C$19:$E$19,1,Inputs!$E$13)/MAX(Inputs!$E$84,1)/12,0)+IF(AND(Inputs!$E$85&gt;0,AE3&lt;=Inputs!$E$85*12),INDEX(Capex!$C$20:$E$20,1,Inputs!$E$13)/MAX(Inputs!$E$85,1)/12,0)+IF(AND(Inputs!$E$86&gt;0,AE3&lt;=Inputs!$E$86*12),INDEX(Capex!$C$21:$E$21,1,Inputs!$E$13)/MAX(Inputs!$E$86,1)/12,0)+IF(AND(Inputs!$E$87&gt;0,AE3&lt;=Inputs!$E$87*12),INDEX(Capex!$C$22:$E$22,1,Inputs!$E$13)/MAX(Inputs!$E$87,1)/12,0)+IF(AND(Inputs!$E$88&gt;0,AE3&lt;=Inputs!$E$88*12),INDEX(Capex!$C$23:$E$23,1,Inputs!$E$13)/MAX(Inputs!$E$88,1)/12,0)+IF(AND(Inputs!$E$89&gt;0,AE3&lt;=Inputs!$E$89*12),INDEX(Capex!$C$24:$E$24,1,Inputs!$E$13)/MAX(Inputs!$E$89,1)/12,0)+IF(AND(Inputs!$E$90&gt;0,AE3&lt;=Inputs!$E$90*12),INDEX(Capex!$C$25:$E$25,1,Inputs!$E$13)/MAX(Inputs!$E$90,1)/12,0)</f>
        <v/>
      </c>
      <c r="AF28" s="3">
        <f>IF(AND(Inputs!$E$84&gt;0,AF3&lt;=Inputs!$E$84*12),INDEX(Capex!$C$19:$E$19,1,Inputs!$E$13)/MAX(Inputs!$E$84,1)/12,0)+IF(AND(Inputs!$E$85&gt;0,AF3&lt;=Inputs!$E$85*12),INDEX(Capex!$C$20:$E$20,1,Inputs!$E$13)/MAX(Inputs!$E$85,1)/12,0)+IF(AND(Inputs!$E$86&gt;0,AF3&lt;=Inputs!$E$86*12),INDEX(Capex!$C$21:$E$21,1,Inputs!$E$13)/MAX(Inputs!$E$86,1)/12,0)+IF(AND(Inputs!$E$87&gt;0,AF3&lt;=Inputs!$E$87*12),INDEX(Capex!$C$22:$E$22,1,Inputs!$E$13)/MAX(Inputs!$E$87,1)/12,0)+IF(AND(Inputs!$E$88&gt;0,AF3&lt;=Inputs!$E$88*12),INDEX(Capex!$C$23:$E$23,1,Inputs!$E$13)/MAX(Inputs!$E$88,1)/12,0)+IF(AND(Inputs!$E$89&gt;0,AF3&lt;=Inputs!$E$89*12),INDEX(Capex!$C$24:$E$24,1,Inputs!$E$13)/MAX(Inputs!$E$89,1)/12,0)+IF(AND(Inputs!$E$90&gt;0,AF3&lt;=Inputs!$E$90*12),INDEX(Capex!$C$25:$E$25,1,Inputs!$E$13)/MAX(Inputs!$E$90,1)/12,0)</f>
        <v/>
      </c>
      <c r="AG28" s="3">
        <f>IF(AND(Inputs!$E$84&gt;0,AG3&lt;=Inputs!$E$84*12),INDEX(Capex!$C$19:$E$19,1,Inputs!$E$13)/MAX(Inputs!$E$84,1)/12,0)+IF(AND(Inputs!$E$85&gt;0,AG3&lt;=Inputs!$E$85*12),INDEX(Capex!$C$20:$E$20,1,Inputs!$E$13)/MAX(Inputs!$E$85,1)/12,0)+IF(AND(Inputs!$E$86&gt;0,AG3&lt;=Inputs!$E$86*12),INDEX(Capex!$C$21:$E$21,1,Inputs!$E$13)/MAX(Inputs!$E$86,1)/12,0)+IF(AND(Inputs!$E$87&gt;0,AG3&lt;=Inputs!$E$87*12),INDEX(Capex!$C$22:$E$22,1,Inputs!$E$13)/MAX(Inputs!$E$87,1)/12,0)+IF(AND(Inputs!$E$88&gt;0,AG3&lt;=Inputs!$E$88*12),INDEX(Capex!$C$23:$E$23,1,Inputs!$E$13)/MAX(Inputs!$E$88,1)/12,0)+IF(AND(Inputs!$E$89&gt;0,AG3&lt;=Inputs!$E$89*12),INDEX(Capex!$C$24:$E$24,1,Inputs!$E$13)/MAX(Inputs!$E$89,1)/12,0)+IF(AND(Inputs!$E$90&gt;0,AG3&lt;=Inputs!$E$90*12),INDEX(Capex!$C$25:$E$25,1,Inputs!$E$13)/MAX(Inputs!$E$90,1)/12,0)</f>
        <v/>
      </c>
      <c r="AH28" s="3">
        <f>IF(AND(Inputs!$E$84&gt;0,AH3&lt;=Inputs!$E$84*12),INDEX(Capex!$C$19:$E$19,1,Inputs!$E$13)/MAX(Inputs!$E$84,1)/12,0)+IF(AND(Inputs!$E$85&gt;0,AH3&lt;=Inputs!$E$85*12),INDEX(Capex!$C$20:$E$20,1,Inputs!$E$13)/MAX(Inputs!$E$85,1)/12,0)+IF(AND(Inputs!$E$86&gt;0,AH3&lt;=Inputs!$E$86*12),INDEX(Capex!$C$21:$E$21,1,Inputs!$E$13)/MAX(Inputs!$E$86,1)/12,0)+IF(AND(Inputs!$E$87&gt;0,AH3&lt;=Inputs!$E$87*12),INDEX(Capex!$C$22:$E$22,1,Inputs!$E$13)/MAX(Inputs!$E$87,1)/12,0)+IF(AND(Inputs!$E$88&gt;0,AH3&lt;=Inputs!$E$88*12),INDEX(Capex!$C$23:$E$23,1,Inputs!$E$13)/MAX(Inputs!$E$88,1)/12,0)+IF(AND(Inputs!$E$89&gt;0,AH3&lt;=Inputs!$E$89*12),INDEX(Capex!$C$24:$E$24,1,Inputs!$E$13)/MAX(Inputs!$E$89,1)/12,0)+IF(AND(Inputs!$E$90&gt;0,AH3&lt;=Inputs!$E$90*12),INDEX(Capex!$C$25:$E$25,1,Inputs!$E$13)/MAX(Inputs!$E$90,1)/12,0)</f>
        <v/>
      </c>
      <c r="AI28" s="3">
        <f>IF(AND(Inputs!$E$84&gt;0,AI3&lt;=Inputs!$E$84*12),INDEX(Capex!$C$19:$E$19,1,Inputs!$E$13)/MAX(Inputs!$E$84,1)/12,0)+IF(AND(Inputs!$E$85&gt;0,AI3&lt;=Inputs!$E$85*12),INDEX(Capex!$C$20:$E$20,1,Inputs!$E$13)/MAX(Inputs!$E$85,1)/12,0)+IF(AND(Inputs!$E$86&gt;0,AI3&lt;=Inputs!$E$86*12),INDEX(Capex!$C$21:$E$21,1,Inputs!$E$13)/MAX(Inputs!$E$86,1)/12,0)+IF(AND(Inputs!$E$87&gt;0,AI3&lt;=Inputs!$E$87*12),INDEX(Capex!$C$22:$E$22,1,Inputs!$E$13)/MAX(Inputs!$E$87,1)/12,0)+IF(AND(Inputs!$E$88&gt;0,AI3&lt;=Inputs!$E$88*12),INDEX(Capex!$C$23:$E$23,1,Inputs!$E$13)/MAX(Inputs!$E$88,1)/12,0)+IF(AND(Inputs!$E$89&gt;0,AI3&lt;=Inputs!$E$89*12),INDEX(Capex!$C$24:$E$24,1,Inputs!$E$13)/MAX(Inputs!$E$89,1)/12,0)+IF(AND(Inputs!$E$90&gt;0,AI3&lt;=Inputs!$E$90*12),INDEX(Capex!$C$25:$E$25,1,Inputs!$E$13)/MAX(Inputs!$E$90,1)/12,0)</f>
        <v/>
      </c>
      <c r="AJ28" s="3">
        <f>IF(AND(Inputs!$E$84&gt;0,AJ3&lt;=Inputs!$E$84*12),INDEX(Capex!$C$19:$E$19,1,Inputs!$E$13)/MAX(Inputs!$E$84,1)/12,0)+IF(AND(Inputs!$E$85&gt;0,AJ3&lt;=Inputs!$E$85*12),INDEX(Capex!$C$20:$E$20,1,Inputs!$E$13)/MAX(Inputs!$E$85,1)/12,0)+IF(AND(Inputs!$E$86&gt;0,AJ3&lt;=Inputs!$E$86*12),INDEX(Capex!$C$21:$E$21,1,Inputs!$E$13)/MAX(Inputs!$E$86,1)/12,0)+IF(AND(Inputs!$E$87&gt;0,AJ3&lt;=Inputs!$E$87*12),INDEX(Capex!$C$22:$E$22,1,Inputs!$E$13)/MAX(Inputs!$E$87,1)/12,0)+IF(AND(Inputs!$E$88&gt;0,AJ3&lt;=Inputs!$E$88*12),INDEX(Capex!$C$23:$E$23,1,Inputs!$E$13)/MAX(Inputs!$E$88,1)/12,0)+IF(AND(Inputs!$E$89&gt;0,AJ3&lt;=Inputs!$E$89*12),INDEX(Capex!$C$24:$E$24,1,Inputs!$E$13)/MAX(Inputs!$E$89,1)/12,0)+IF(AND(Inputs!$E$90&gt;0,AJ3&lt;=Inputs!$E$90*12),INDEX(Capex!$C$25:$E$25,1,Inputs!$E$13)/MAX(Inputs!$E$90,1)/12,0)</f>
        <v/>
      </c>
      <c r="AK28" s="3">
        <f>IF(AND(Inputs!$E$84&gt;0,AK3&lt;=Inputs!$E$84*12),INDEX(Capex!$C$19:$E$19,1,Inputs!$E$13)/MAX(Inputs!$E$84,1)/12,0)+IF(AND(Inputs!$E$85&gt;0,AK3&lt;=Inputs!$E$85*12),INDEX(Capex!$C$20:$E$20,1,Inputs!$E$13)/MAX(Inputs!$E$85,1)/12,0)+IF(AND(Inputs!$E$86&gt;0,AK3&lt;=Inputs!$E$86*12),INDEX(Capex!$C$21:$E$21,1,Inputs!$E$13)/MAX(Inputs!$E$86,1)/12,0)+IF(AND(Inputs!$E$87&gt;0,AK3&lt;=Inputs!$E$87*12),INDEX(Capex!$C$22:$E$22,1,Inputs!$E$13)/MAX(Inputs!$E$87,1)/12,0)+IF(AND(Inputs!$E$88&gt;0,AK3&lt;=Inputs!$E$88*12),INDEX(Capex!$C$23:$E$23,1,Inputs!$E$13)/MAX(Inputs!$E$88,1)/12,0)+IF(AND(Inputs!$E$89&gt;0,AK3&lt;=Inputs!$E$89*12),INDEX(Capex!$C$24:$E$24,1,Inputs!$E$13)/MAX(Inputs!$E$89,1)/12,0)+IF(AND(Inputs!$E$90&gt;0,AK3&lt;=Inputs!$E$90*12),INDEX(Capex!$C$25:$E$25,1,Inputs!$E$13)/MAX(Inputs!$E$90,1)/12,0)</f>
        <v/>
      </c>
      <c r="AL28" s="3">
        <f>IF(AND(Inputs!$E$84&gt;0,AL3&lt;=Inputs!$E$84*12),INDEX(Capex!$C$19:$E$19,1,Inputs!$E$13)/MAX(Inputs!$E$84,1)/12,0)+IF(AND(Inputs!$E$85&gt;0,AL3&lt;=Inputs!$E$85*12),INDEX(Capex!$C$20:$E$20,1,Inputs!$E$13)/MAX(Inputs!$E$85,1)/12,0)+IF(AND(Inputs!$E$86&gt;0,AL3&lt;=Inputs!$E$86*12),INDEX(Capex!$C$21:$E$21,1,Inputs!$E$13)/MAX(Inputs!$E$86,1)/12,0)+IF(AND(Inputs!$E$87&gt;0,AL3&lt;=Inputs!$E$87*12),INDEX(Capex!$C$22:$E$22,1,Inputs!$E$13)/MAX(Inputs!$E$87,1)/12,0)+IF(AND(Inputs!$E$88&gt;0,AL3&lt;=Inputs!$E$88*12),INDEX(Capex!$C$23:$E$23,1,Inputs!$E$13)/MAX(Inputs!$E$88,1)/12,0)+IF(AND(Inputs!$E$89&gt;0,AL3&lt;=Inputs!$E$89*12),INDEX(Capex!$C$24:$E$24,1,Inputs!$E$13)/MAX(Inputs!$E$89,1)/12,0)+IF(AND(Inputs!$E$90&gt;0,AL3&lt;=Inputs!$E$90*12),INDEX(Capex!$C$25:$E$25,1,Inputs!$E$13)/MAX(Inputs!$E$90,1)/12,0)</f>
        <v/>
      </c>
      <c r="AM28" s="3">
        <f>IF(AND(Inputs!$E$84&gt;0,AM3&lt;=Inputs!$E$84*12),INDEX(Capex!$C$19:$E$19,1,Inputs!$E$13)/MAX(Inputs!$E$84,1)/12,0)+IF(AND(Inputs!$E$85&gt;0,AM3&lt;=Inputs!$E$85*12),INDEX(Capex!$C$20:$E$20,1,Inputs!$E$13)/MAX(Inputs!$E$85,1)/12,0)+IF(AND(Inputs!$E$86&gt;0,AM3&lt;=Inputs!$E$86*12),INDEX(Capex!$C$21:$E$21,1,Inputs!$E$13)/MAX(Inputs!$E$86,1)/12,0)+IF(AND(Inputs!$E$87&gt;0,AM3&lt;=Inputs!$E$87*12),INDEX(Capex!$C$22:$E$22,1,Inputs!$E$13)/MAX(Inputs!$E$87,1)/12,0)+IF(AND(Inputs!$E$88&gt;0,AM3&lt;=Inputs!$E$88*12),INDEX(Capex!$C$23:$E$23,1,Inputs!$E$13)/MAX(Inputs!$E$88,1)/12,0)+IF(AND(Inputs!$E$89&gt;0,AM3&lt;=Inputs!$E$89*12),INDEX(Capex!$C$24:$E$24,1,Inputs!$E$13)/MAX(Inputs!$E$89,1)/12,0)+IF(AND(Inputs!$E$90&gt;0,AM3&lt;=Inputs!$E$90*12),INDEX(Capex!$C$25:$E$25,1,Inputs!$E$13)/MAX(Inputs!$E$90,1)/12,0)</f>
        <v/>
      </c>
      <c r="AN28" s="3">
        <f>IF(AND(Inputs!$E$84&gt;0,AN3&lt;=Inputs!$E$84*12),INDEX(Capex!$C$19:$E$19,1,Inputs!$E$13)/MAX(Inputs!$E$84,1)/12,0)+IF(AND(Inputs!$E$85&gt;0,AN3&lt;=Inputs!$E$85*12),INDEX(Capex!$C$20:$E$20,1,Inputs!$E$13)/MAX(Inputs!$E$85,1)/12,0)+IF(AND(Inputs!$E$86&gt;0,AN3&lt;=Inputs!$E$86*12),INDEX(Capex!$C$21:$E$21,1,Inputs!$E$13)/MAX(Inputs!$E$86,1)/12,0)+IF(AND(Inputs!$E$87&gt;0,AN3&lt;=Inputs!$E$87*12),INDEX(Capex!$C$22:$E$22,1,Inputs!$E$13)/MAX(Inputs!$E$87,1)/12,0)+IF(AND(Inputs!$E$88&gt;0,AN3&lt;=Inputs!$E$88*12),INDEX(Capex!$C$23:$E$23,1,Inputs!$E$13)/MAX(Inputs!$E$88,1)/12,0)+IF(AND(Inputs!$E$89&gt;0,AN3&lt;=Inputs!$E$89*12),INDEX(Capex!$C$24:$E$24,1,Inputs!$E$13)/MAX(Inputs!$E$89,1)/12,0)+IF(AND(Inputs!$E$90&gt;0,AN3&lt;=Inputs!$E$90*12),INDEX(Capex!$C$25:$E$25,1,Inputs!$E$13)/MAX(Inputs!$E$90,1)/12,0)</f>
        <v/>
      </c>
      <c r="AO28" s="3">
        <f>IF(AND(Inputs!$E$84&gt;0,AO3&lt;=Inputs!$E$84*12),INDEX(Capex!$C$19:$E$19,1,Inputs!$E$13)/MAX(Inputs!$E$84,1)/12,0)+IF(AND(Inputs!$E$85&gt;0,AO3&lt;=Inputs!$E$85*12),INDEX(Capex!$C$20:$E$20,1,Inputs!$E$13)/MAX(Inputs!$E$85,1)/12,0)+IF(AND(Inputs!$E$86&gt;0,AO3&lt;=Inputs!$E$86*12),INDEX(Capex!$C$21:$E$21,1,Inputs!$E$13)/MAX(Inputs!$E$86,1)/12,0)+IF(AND(Inputs!$E$87&gt;0,AO3&lt;=Inputs!$E$87*12),INDEX(Capex!$C$22:$E$22,1,Inputs!$E$13)/MAX(Inputs!$E$87,1)/12,0)+IF(AND(Inputs!$E$88&gt;0,AO3&lt;=Inputs!$E$88*12),INDEX(Capex!$C$23:$E$23,1,Inputs!$E$13)/MAX(Inputs!$E$88,1)/12,0)+IF(AND(Inputs!$E$89&gt;0,AO3&lt;=Inputs!$E$89*12),INDEX(Capex!$C$24:$E$24,1,Inputs!$E$13)/MAX(Inputs!$E$89,1)/12,0)+IF(AND(Inputs!$E$90&gt;0,AO3&lt;=Inputs!$E$90*12),INDEX(Capex!$C$25:$E$25,1,Inputs!$E$13)/MAX(Inputs!$E$90,1)/12,0)</f>
        <v/>
      </c>
      <c r="AP28" s="3">
        <f>IF(AND(Inputs!$E$84&gt;0,AP3&lt;=Inputs!$E$84*12),INDEX(Capex!$C$19:$E$19,1,Inputs!$E$13)/MAX(Inputs!$E$84,1)/12,0)+IF(AND(Inputs!$E$85&gt;0,AP3&lt;=Inputs!$E$85*12),INDEX(Capex!$C$20:$E$20,1,Inputs!$E$13)/MAX(Inputs!$E$85,1)/12,0)+IF(AND(Inputs!$E$86&gt;0,AP3&lt;=Inputs!$E$86*12),INDEX(Capex!$C$21:$E$21,1,Inputs!$E$13)/MAX(Inputs!$E$86,1)/12,0)+IF(AND(Inputs!$E$87&gt;0,AP3&lt;=Inputs!$E$87*12),INDEX(Capex!$C$22:$E$22,1,Inputs!$E$13)/MAX(Inputs!$E$87,1)/12,0)+IF(AND(Inputs!$E$88&gt;0,AP3&lt;=Inputs!$E$88*12),INDEX(Capex!$C$23:$E$23,1,Inputs!$E$13)/MAX(Inputs!$E$88,1)/12,0)+IF(AND(Inputs!$E$89&gt;0,AP3&lt;=Inputs!$E$89*12),INDEX(Capex!$C$24:$E$24,1,Inputs!$E$13)/MAX(Inputs!$E$89,1)/12,0)+IF(AND(Inputs!$E$90&gt;0,AP3&lt;=Inputs!$E$90*12),INDEX(Capex!$C$25:$E$25,1,Inputs!$E$13)/MAX(Inputs!$E$90,1)/12,0)</f>
        <v/>
      </c>
      <c r="AQ28" s="3">
        <f>IF(AND(Inputs!$E$84&gt;0,AQ3&lt;=Inputs!$E$84*12),INDEX(Capex!$C$19:$E$19,1,Inputs!$E$13)/MAX(Inputs!$E$84,1)/12,0)+IF(AND(Inputs!$E$85&gt;0,AQ3&lt;=Inputs!$E$85*12),INDEX(Capex!$C$20:$E$20,1,Inputs!$E$13)/MAX(Inputs!$E$85,1)/12,0)+IF(AND(Inputs!$E$86&gt;0,AQ3&lt;=Inputs!$E$86*12),INDEX(Capex!$C$21:$E$21,1,Inputs!$E$13)/MAX(Inputs!$E$86,1)/12,0)+IF(AND(Inputs!$E$87&gt;0,AQ3&lt;=Inputs!$E$87*12),INDEX(Capex!$C$22:$E$22,1,Inputs!$E$13)/MAX(Inputs!$E$87,1)/12,0)+IF(AND(Inputs!$E$88&gt;0,AQ3&lt;=Inputs!$E$88*12),INDEX(Capex!$C$23:$E$23,1,Inputs!$E$13)/MAX(Inputs!$E$88,1)/12,0)+IF(AND(Inputs!$E$89&gt;0,AQ3&lt;=Inputs!$E$89*12),INDEX(Capex!$C$24:$E$24,1,Inputs!$E$13)/MAX(Inputs!$E$89,1)/12,0)+IF(AND(Inputs!$E$90&gt;0,AQ3&lt;=Inputs!$E$90*12),INDEX(Capex!$C$25:$E$25,1,Inputs!$E$13)/MAX(Inputs!$E$90,1)/12,0)</f>
        <v/>
      </c>
      <c r="AR28" s="3">
        <f>IF(AND(Inputs!$E$84&gt;0,AR3&lt;=Inputs!$E$84*12),INDEX(Capex!$C$19:$E$19,1,Inputs!$E$13)/MAX(Inputs!$E$84,1)/12,0)+IF(AND(Inputs!$E$85&gt;0,AR3&lt;=Inputs!$E$85*12),INDEX(Capex!$C$20:$E$20,1,Inputs!$E$13)/MAX(Inputs!$E$85,1)/12,0)+IF(AND(Inputs!$E$86&gt;0,AR3&lt;=Inputs!$E$86*12),INDEX(Capex!$C$21:$E$21,1,Inputs!$E$13)/MAX(Inputs!$E$86,1)/12,0)+IF(AND(Inputs!$E$87&gt;0,AR3&lt;=Inputs!$E$87*12),INDEX(Capex!$C$22:$E$22,1,Inputs!$E$13)/MAX(Inputs!$E$87,1)/12,0)+IF(AND(Inputs!$E$88&gt;0,AR3&lt;=Inputs!$E$88*12),INDEX(Capex!$C$23:$E$23,1,Inputs!$E$13)/MAX(Inputs!$E$88,1)/12,0)+IF(AND(Inputs!$E$89&gt;0,AR3&lt;=Inputs!$E$89*12),INDEX(Capex!$C$24:$E$24,1,Inputs!$E$13)/MAX(Inputs!$E$89,1)/12,0)+IF(AND(Inputs!$E$90&gt;0,AR3&lt;=Inputs!$E$90*12),INDEX(Capex!$C$25:$E$25,1,Inputs!$E$13)/MAX(Inputs!$E$90,1)/12,0)</f>
        <v/>
      </c>
      <c r="AS28" s="3">
        <f>IF(AND(Inputs!$E$84&gt;0,AS3&lt;=Inputs!$E$84*12),INDEX(Capex!$C$19:$E$19,1,Inputs!$E$13)/MAX(Inputs!$E$84,1)/12,0)+IF(AND(Inputs!$E$85&gt;0,AS3&lt;=Inputs!$E$85*12),INDEX(Capex!$C$20:$E$20,1,Inputs!$E$13)/MAX(Inputs!$E$85,1)/12,0)+IF(AND(Inputs!$E$86&gt;0,AS3&lt;=Inputs!$E$86*12),INDEX(Capex!$C$21:$E$21,1,Inputs!$E$13)/MAX(Inputs!$E$86,1)/12,0)+IF(AND(Inputs!$E$87&gt;0,AS3&lt;=Inputs!$E$87*12),INDEX(Capex!$C$22:$E$22,1,Inputs!$E$13)/MAX(Inputs!$E$87,1)/12,0)+IF(AND(Inputs!$E$88&gt;0,AS3&lt;=Inputs!$E$88*12),INDEX(Capex!$C$23:$E$23,1,Inputs!$E$13)/MAX(Inputs!$E$88,1)/12,0)+IF(AND(Inputs!$E$89&gt;0,AS3&lt;=Inputs!$E$89*12),INDEX(Capex!$C$24:$E$24,1,Inputs!$E$13)/MAX(Inputs!$E$89,1)/12,0)+IF(AND(Inputs!$E$90&gt;0,AS3&lt;=Inputs!$E$90*12),INDEX(Capex!$C$25:$E$25,1,Inputs!$E$13)/MAX(Inputs!$E$90,1)/12,0)</f>
        <v/>
      </c>
      <c r="AT28" s="3">
        <f>IF(AND(Inputs!$E$84&gt;0,AT3&lt;=Inputs!$E$84*12),INDEX(Capex!$C$19:$E$19,1,Inputs!$E$13)/MAX(Inputs!$E$84,1)/12,0)+IF(AND(Inputs!$E$85&gt;0,AT3&lt;=Inputs!$E$85*12),INDEX(Capex!$C$20:$E$20,1,Inputs!$E$13)/MAX(Inputs!$E$85,1)/12,0)+IF(AND(Inputs!$E$86&gt;0,AT3&lt;=Inputs!$E$86*12),INDEX(Capex!$C$21:$E$21,1,Inputs!$E$13)/MAX(Inputs!$E$86,1)/12,0)+IF(AND(Inputs!$E$87&gt;0,AT3&lt;=Inputs!$E$87*12),INDEX(Capex!$C$22:$E$22,1,Inputs!$E$13)/MAX(Inputs!$E$87,1)/12,0)+IF(AND(Inputs!$E$88&gt;0,AT3&lt;=Inputs!$E$88*12),INDEX(Capex!$C$23:$E$23,1,Inputs!$E$13)/MAX(Inputs!$E$88,1)/12,0)+IF(AND(Inputs!$E$89&gt;0,AT3&lt;=Inputs!$E$89*12),INDEX(Capex!$C$24:$E$24,1,Inputs!$E$13)/MAX(Inputs!$E$89,1)/12,0)+IF(AND(Inputs!$E$90&gt;0,AT3&lt;=Inputs!$E$90*12),INDEX(Capex!$C$25:$E$25,1,Inputs!$E$13)/MAX(Inputs!$E$90,1)/12,0)</f>
        <v/>
      </c>
      <c r="AU28" s="3">
        <f>IF(AND(Inputs!$E$84&gt;0,AU3&lt;=Inputs!$E$84*12),INDEX(Capex!$C$19:$E$19,1,Inputs!$E$13)/MAX(Inputs!$E$84,1)/12,0)+IF(AND(Inputs!$E$85&gt;0,AU3&lt;=Inputs!$E$85*12),INDEX(Capex!$C$20:$E$20,1,Inputs!$E$13)/MAX(Inputs!$E$85,1)/12,0)+IF(AND(Inputs!$E$86&gt;0,AU3&lt;=Inputs!$E$86*12),INDEX(Capex!$C$21:$E$21,1,Inputs!$E$13)/MAX(Inputs!$E$86,1)/12,0)+IF(AND(Inputs!$E$87&gt;0,AU3&lt;=Inputs!$E$87*12),INDEX(Capex!$C$22:$E$22,1,Inputs!$E$13)/MAX(Inputs!$E$87,1)/12,0)+IF(AND(Inputs!$E$88&gt;0,AU3&lt;=Inputs!$E$88*12),INDEX(Capex!$C$23:$E$23,1,Inputs!$E$13)/MAX(Inputs!$E$88,1)/12,0)+IF(AND(Inputs!$E$89&gt;0,AU3&lt;=Inputs!$E$89*12),INDEX(Capex!$C$24:$E$24,1,Inputs!$E$13)/MAX(Inputs!$E$89,1)/12,0)+IF(AND(Inputs!$E$90&gt;0,AU3&lt;=Inputs!$E$90*12),INDEX(Capex!$C$25:$E$25,1,Inputs!$E$13)/MAX(Inputs!$E$90,1)/12,0)</f>
        <v/>
      </c>
      <c r="AV28" s="3">
        <f>IF(AND(Inputs!$E$84&gt;0,AV3&lt;=Inputs!$E$84*12),INDEX(Capex!$C$19:$E$19,1,Inputs!$E$13)/MAX(Inputs!$E$84,1)/12,0)+IF(AND(Inputs!$E$85&gt;0,AV3&lt;=Inputs!$E$85*12),INDEX(Capex!$C$20:$E$20,1,Inputs!$E$13)/MAX(Inputs!$E$85,1)/12,0)+IF(AND(Inputs!$E$86&gt;0,AV3&lt;=Inputs!$E$86*12),INDEX(Capex!$C$21:$E$21,1,Inputs!$E$13)/MAX(Inputs!$E$86,1)/12,0)+IF(AND(Inputs!$E$87&gt;0,AV3&lt;=Inputs!$E$87*12),INDEX(Capex!$C$22:$E$22,1,Inputs!$E$13)/MAX(Inputs!$E$87,1)/12,0)+IF(AND(Inputs!$E$88&gt;0,AV3&lt;=Inputs!$E$88*12),INDEX(Capex!$C$23:$E$23,1,Inputs!$E$13)/MAX(Inputs!$E$88,1)/12,0)+IF(AND(Inputs!$E$89&gt;0,AV3&lt;=Inputs!$E$89*12),INDEX(Capex!$C$24:$E$24,1,Inputs!$E$13)/MAX(Inputs!$E$89,1)/12,0)+IF(AND(Inputs!$E$90&gt;0,AV3&lt;=Inputs!$E$90*12),INDEX(Capex!$C$25:$E$25,1,Inputs!$E$13)/MAX(Inputs!$E$90,1)/12,0)</f>
        <v/>
      </c>
      <c r="AW28" s="3">
        <f>IF(AND(Inputs!$E$84&gt;0,AW3&lt;=Inputs!$E$84*12),INDEX(Capex!$C$19:$E$19,1,Inputs!$E$13)/MAX(Inputs!$E$84,1)/12,0)+IF(AND(Inputs!$E$85&gt;0,AW3&lt;=Inputs!$E$85*12),INDEX(Capex!$C$20:$E$20,1,Inputs!$E$13)/MAX(Inputs!$E$85,1)/12,0)+IF(AND(Inputs!$E$86&gt;0,AW3&lt;=Inputs!$E$86*12),INDEX(Capex!$C$21:$E$21,1,Inputs!$E$13)/MAX(Inputs!$E$86,1)/12,0)+IF(AND(Inputs!$E$87&gt;0,AW3&lt;=Inputs!$E$87*12),INDEX(Capex!$C$22:$E$22,1,Inputs!$E$13)/MAX(Inputs!$E$87,1)/12,0)+IF(AND(Inputs!$E$88&gt;0,AW3&lt;=Inputs!$E$88*12),INDEX(Capex!$C$23:$E$23,1,Inputs!$E$13)/MAX(Inputs!$E$88,1)/12,0)+IF(AND(Inputs!$E$89&gt;0,AW3&lt;=Inputs!$E$89*12),INDEX(Capex!$C$24:$E$24,1,Inputs!$E$13)/MAX(Inputs!$E$89,1)/12,0)+IF(AND(Inputs!$E$90&gt;0,AW3&lt;=Inputs!$E$90*12),INDEX(Capex!$C$25:$E$25,1,Inputs!$E$13)/MAX(Inputs!$E$90,1)/12,0)</f>
        <v/>
      </c>
      <c r="AX28" s="3">
        <f>IF(AND(Inputs!$E$84&gt;0,AX3&lt;=Inputs!$E$84*12),INDEX(Capex!$C$19:$E$19,1,Inputs!$E$13)/MAX(Inputs!$E$84,1)/12,0)+IF(AND(Inputs!$E$85&gt;0,AX3&lt;=Inputs!$E$85*12),INDEX(Capex!$C$20:$E$20,1,Inputs!$E$13)/MAX(Inputs!$E$85,1)/12,0)+IF(AND(Inputs!$E$86&gt;0,AX3&lt;=Inputs!$E$86*12),INDEX(Capex!$C$21:$E$21,1,Inputs!$E$13)/MAX(Inputs!$E$86,1)/12,0)+IF(AND(Inputs!$E$87&gt;0,AX3&lt;=Inputs!$E$87*12),INDEX(Capex!$C$22:$E$22,1,Inputs!$E$13)/MAX(Inputs!$E$87,1)/12,0)+IF(AND(Inputs!$E$88&gt;0,AX3&lt;=Inputs!$E$88*12),INDEX(Capex!$C$23:$E$23,1,Inputs!$E$13)/MAX(Inputs!$E$88,1)/12,0)+IF(AND(Inputs!$E$89&gt;0,AX3&lt;=Inputs!$E$89*12),INDEX(Capex!$C$24:$E$24,1,Inputs!$E$13)/MAX(Inputs!$E$89,1)/12,0)+IF(AND(Inputs!$E$90&gt;0,AX3&lt;=Inputs!$E$90*12),INDEX(Capex!$C$25:$E$25,1,Inputs!$E$13)/MAX(Inputs!$E$90,1)/12,0)</f>
        <v/>
      </c>
      <c r="AY28" s="3">
        <f>IF(AND(Inputs!$E$84&gt;0,AY3&lt;=Inputs!$E$84*12),INDEX(Capex!$C$19:$E$19,1,Inputs!$E$13)/MAX(Inputs!$E$84,1)/12,0)+IF(AND(Inputs!$E$85&gt;0,AY3&lt;=Inputs!$E$85*12),INDEX(Capex!$C$20:$E$20,1,Inputs!$E$13)/MAX(Inputs!$E$85,1)/12,0)+IF(AND(Inputs!$E$86&gt;0,AY3&lt;=Inputs!$E$86*12),INDEX(Capex!$C$21:$E$21,1,Inputs!$E$13)/MAX(Inputs!$E$86,1)/12,0)+IF(AND(Inputs!$E$87&gt;0,AY3&lt;=Inputs!$E$87*12),INDEX(Capex!$C$22:$E$22,1,Inputs!$E$13)/MAX(Inputs!$E$87,1)/12,0)+IF(AND(Inputs!$E$88&gt;0,AY3&lt;=Inputs!$E$88*12),INDEX(Capex!$C$23:$E$23,1,Inputs!$E$13)/MAX(Inputs!$E$88,1)/12,0)+IF(AND(Inputs!$E$89&gt;0,AY3&lt;=Inputs!$E$89*12),INDEX(Capex!$C$24:$E$24,1,Inputs!$E$13)/MAX(Inputs!$E$89,1)/12,0)+IF(AND(Inputs!$E$90&gt;0,AY3&lt;=Inputs!$E$90*12),INDEX(Capex!$C$25:$E$25,1,Inputs!$E$13)/MAX(Inputs!$E$90,1)/12,0)</f>
        <v/>
      </c>
      <c r="AZ28" s="3">
        <f>IF(AND(Inputs!$E$84&gt;0,AZ3&lt;=Inputs!$E$84*12),INDEX(Capex!$C$19:$E$19,1,Inputs!$E$13)/MAX(Inputs!$E$84,1)/12,0)+IF(AND(Inputs!$E$85&gt;0,AZ3&lt;=Inputs!$E$85*12),INDEX(Capex!$C$20:$E$20,1,Inputs!$E$13)/MAX(Inputs!$E$85,1)/12,0)+IF(AND(Inputs!$E$86&gt;0,AZ3&lt;=Inputs!$E$86*12),INDEX(Capex!$C$21:$E$21,1,Inputs!$E$13)/MAX(Inputs!$E$86,1)/12,0)+IF(AND(Inputs!$E$87&gt;0,AZ3&lt;=Inputs!$E$87*12),INDEX(Capex!$C$22:$E$22,1,Inputs!$E$13)/MAX(Inputs!$E$87,1)/12,0)+IF(AND(Inputs!$E$88&gt;0,AZ3&lt;=Inputs!$E$88*12),INDEX(Capex!$C$23:$E$23,1,Inputs!$E$13)/MAX(Inputs!$E$88,1)/12,0)+IF(AND(Inputs!$E$89&gt;0,AZ3&lt;=Inputs!$E$89*12),INDEX(Capex!$C$24:$E$24,1,Inputs!$E$13)/MAX(Inputs!$E$89,1)/12,0)+IF(AND(Inputs!$E$90&gt;0,AZ3&lt;=Inputs!$E$90*12),INDEX(Capex!$C$25:$E$25,1,Inputs!$E$13)/MAX(Inputs!$E$90,1)/12,0)</f>
        <v/>
      </c>
      <c r="BA28" s="3">
        <f>IF(AND(Inputs!$E$84&gt;0,BA3&lt;=Inputs!$E$84*12),INDEX(Capex!$C$19:$E$19,1,Inputs!$E$13)/MAX(Inputs!$E$84,1)/12,0)+IF(AND(Inputs!$E$85&gt;0,BA3&lt;=Inputs!$E$85*12),INDEX(Capex!$C$20:$E$20,1,Inputs!$E$13)/MAX(Inputs!$E$85,1)/12,0)+IF(AND(Inputs!$E$86&gt;0,BA3&lt;=Inputs!$E$86*12),INDEX(Capex!$C$21:$E$21,1,Inputs!$E$13)/MAX(Inputs!$E$86,1)/12,0)+IF(AND(Inputs!$E$87&gt;0,BA3&lt;=Inputs!$E$87*12),INDEX(Capex!$C$22:$E$22,1,Inputs!$E$13)/MAX(Inputs!$E$87,1)/12,0)+IF(AND(Inputs!$E$88&gt;0,BA3&lt;=Inputs!$E$88*12),INDEX(Capex!$C$23:$E$23,1,Inputs!$E$13)/MAX(Inputs!$E$88,1)/12,0)+IF(AND(Inputs!$E$89&gt;0,BA3&lt;=Inputs!$E$89*12),INDEX(Capex!$C$24:$E$24,1,Inputs!$E$13)/MAX(Inputs!$E$89,1)/12,0)+IF(AND(Inputs!$E$90&gt;0,BA3&lt;=Inputs!$E$90*12),INDEX(Capex!$C$25:$E$25,1,Inputs!$E$13)/MAX(Inputs!$E$90,1)/12,0)</f>
        <v/>
      </c>
      <c r="BB28" s="3">
        <f>IF(AND(Inputs!$E$84&gt;0,BB3&lt;=Inputs!$E$84*12),INDEX(Capex!$C$19:$E$19,1,Inputs!$E$13)/MAX(Inputs!$E$84,1)/12,0)+IF(AND(Inputs!$E$85&gt;0,BB3&lt;=Inputs!$E$85*12),INDEX(Capex!$C$20:$E$20,1,Inputs!$E$13)/MAX(Inputs!$E$85,1)/12,0)+IF(AND(Inputs!$E$86&gt;0,BB3&lt;=Inputs!$E$86*12),INDEX(Capex!$C$21:$E$21,1,Inputs!$E$13)/MAX(Inputs!$E$86,1)/12,0)+IF(AND(Inputs!$E$87&gt;0,BB3&lt;=Inputs!$E$87*12),INDEX(Capex!$C$22:$E$22,1,Inputs!$E$13)/MAX(Inputs!$E$87,1)/12,0)+IF(AND(Inputs!$E$88&gt;0,BB3&lt;=Inputs!$E$88*12),INDEX(Capex!$C$23:$E$23,1,Inputs!$E$13)/MAX(Inputs!$E$88,1)/12,0)+IF(AND(Inputs!$E$89&gt;0,BB3&lt;=Inputs!$E$89*12),INDEX(Capex!$C$24:$E$24,1,Inputs!$E$13)/MAX(Inputs!$E$89,1)/12,0)+IF(AND(Inputs!$E$90&gt;0,BB3&lt;=Inputs!$E$90*12),INDEX(Capex!$C$25:$E$25,1,Inputs!$E$13)/MAX(Inputs!$E$90,1)/12,0)</f>
        <v/>
      </c>
      <c r="BC28" s="3">
        <f>IF(AND(Inputs!$E$84&gt;0,BC3&lt;=Inputs!$E$84*12),INDEX(Capex!$C$19:$E$19,1,Inputs!$E$13)/MAX(Inputs!$E$84,1)/12,0)+IF(AND(Inputs!$E$85&gt;0,BC3&lt;=Inputs!$E$85*12),INDEX(Capex!$C$20:$E$20,1,Inputs!$E$13)/MAX(Inputs!$E$85,1)/12,0)+IF(AND(Inputs!$E$86&gt;0,BC3&lt;=Inputs!$E$86*12),INDEX(Capex!$C$21:$E$21,1,Inputs!$E$13)/MAX(Inputs!$E$86,1)/12,0)+IF(AND(Inputs!$E$87&gt;0,BC3&lt;=Inputs!$E$87*12),INDEX(Capex!$C$22:$E$22,1,Inputs!$E$13)/MAX(Inputs!$E$87,1)/12,0)+IF(AND(Inputs!$E$88&gt;0,BC3&lt;=Inputs!$E$88*12),INDEX(Capex!$C$23:$E$23,1,Inputs!$E$13)/MAX(Inputs!$E$88,1)/12,0)+IF(AND(Inputs!$E$89&gt;0,BC3&lt;=Inputs!$E$89*12),INDEX(Capex!$C$24:$E$24,1,Inputs!$E$13)/MAX(Inputs!$E$89,1)/12,0)+IF(AND(Inputs!$E$90&gt;0,BC3&lt;=Inputs!$E$90*12),INDEX(Capex!$C$25:$E$25,1,Inputs!$E$13)/MAX(Inputs!$E$90,1)/12,0)</f>
        <v/>
      </c>
      <c r="BD28" s="3">
        <f>IF(AND(Inputs!$E$84&gt;0,BD3&lt;=Inputs!$E$84*12),INDEX(Capex!$C$19:$E$19,1,Inputs!$E$13)/MAX(Inputs!$E$84,1)/12,0)+IF(AND(Inputs!$E$85&gt;0,BD3&lt;=Inputs!$E$85*12),INDEX(Capex!$C$20:$E$20,1,Inputs!$E$13)/MAX(Inputs!$E$85,1)/12,0)+IF(AND(Inputs!$E$86&gt;0,BD3&lt;=Inputs!$E$86*12),INDEX(Capex!$C$21:$E$21,1,Inputs!$E$13)/MAX(Inputs!$E$86,1)/12,0)+IF(AND(Inputs!$E$87&gt;0,BD3&lt;=Inputs!$E$87*12),INDEX(Capex!$C$22:$E$22,1,Inputs!$E$13)/MAX(Inputs!$E$87,1)/12,0)+IF(AND(Inputs!$E$88&gt;0,BD3&lt;=Inputs!$E$88*12),INDEX(Capex!$C$23:$E$23,1,Inputs!$E$13)/MAX(Inputs!$E$88,1)/12,0)+IF(AND(Inputs!$E$89&gt;0,BD3&lt;=Inputs!$E$89*12),INDEX(Capex!$C$24:$E$24,1,Inputs!$E$13)/MAX(Inputs!$E$89,1)/12,0)+IF(AND(Inputs!$E$90&gt;0,BD3&lt;=Inputs!$E$90*12),INDEX(Capex!$C$25:$E$25,1,Inputs!$E$13)/MAX(Inputs!$E$90,1)/12,0)</f>
        <v/>
      </c>
      <c r="BE28" s="3">
        <f>IF(AND(Inputs!$E$84&gt;0,BE3&lt;=Inputs!$E$84*12),INDEX(Capex!$C$19:$E$19,1,Inputs!$E$13)/MAX(Inputs!$E$84,1)/12,0)+IF(AND(Inputs!$E$85&gt;0,BE3&lt;=Inputs!$E$85*12),INDEX(Capex!$C$20:$E$20,1,Inputs!$E$13)/MAX(Inputs!$E$85,1)/12,0)+IF(AND(Inputs!$E$86&gt;0,BE3&lt;=Inputs!$E$86*12),INDEX(Capex!$C$21:$E$21,1,Inputs!$E$13)/MAX(Inputs!$E$86,1)/12,0)+IF(AND(Inputs!$E$87&gt;0,BE3&lt;=Inputs!$E$87*12),INDEX(Capex!$C$22:$E$22,1,Inputs!$E$13)/MAX(Inputs!$E$87,1)/12,0)+IF(AND(Inputs!$E$88&gt;0,BE3&lt;=Inputs!$E$88*12),INDEX(Capex!$C$23:$E$23,1,Inputs!$E$13)/MAX(Inputs!$E$88,1)/12,0)+IF(AND(Inputs!$E$89&gt;0,BE3&lt;=Inputs!$E$89*12),INDEX(Capex!$C$24:$E$24,1,Inputs!$E$13)/MAX(Inputs!$E$89,1)/12,0)+IF(AND(Inputs!$E$90&gt;0,BE3&lt;=Inputs!$E$90*12),INDEX(Capex!$C$25:$E$25,1,Inputs!$E$13)/MAX(Inputs!$E$90,1)/12,0)</f>
        <v/>
      </c>
      <c r="BF28" s="3">
        <f>IF(AND(Inputs!$E$84&gt;0,BF3&lt;=Inputs!$E$84*12),INDEX(Capex!$C$19:$E$19,1,Inputs!$E$13)/MAX(Inputs!$E$84,1)/12,0)+IF(AND(Inputs!$E$85&gt;0,BF3&lt;=Inputs!$E$85*12),INDEX(Capex!$C$20:$E$20,1,Inputs!$E$13)/MAX(Inputs!$E$85,1)/12,0)+IF(AND(Inputs!$E$86&gt;0,BF3&lt;=Inputs!$E$86*12),INDEX(Capex!$C$21:$E$21,1,Inputs!$E$13)/MAX(Inputs!$E$86,1)/12,0)+IF(AND(Inputs!$E$87&gt;0,BF3&lt;=Inputs!$E$87*12),INDEX(Capex!$C$22:$E$22,1,Inputs!$E$13)/MAX(Inputs!$E$87,1)/12,0)+IF(AND(Inputs!$E$88&gt;0,BF3&lt;=Inputs!$E$88*12),INDEX(Capex!$C$23:$E$23,1,Inputs!$E$13)/MAX(Inputs!$E$88,1)/12,0)+IF(AND(Inputs!$E$89&gt;0,BF3&lt;=Inputs!$E$89*12),INDEX(Capex!$C$24:$E$24,1,Inputs!$E$13)/MAX(Inputs!$E$89,1)/12,0)+IF(AND(Inputs!$E$90&gt;0,BF3&lt;=Inputs!$E$90*12),INDEX(Capex!$C$25:$E$25,1,Inputs!$E$13)/MAX(Inputs!$E$90,1)/12,0)</f>
        <v/>
      </c>
      <c r="BG28" s="3">
        <f>IF(AND(Inputs!$E$84&gt;0,BG3&lt;=Inputs!$E$84*12),INDEX(Capex!$C$19:$E$19,1,Inputs!$E$13)/MAX(Inputs!$E$84,1)/12,0)+IF(AND(Inputs!$E$85&gt;0,BG3&lt;=Inputs!$E$85*12),INDEX(Capex!$C$20:$E$20,1,Inputs!$E$13)/MAX(Inputs!$E$85,1)/12,0)+IF(AND(Inputs!$E$86&gt;0,BG3&lt;=Inputs!$E$86*12),INDEX(Capex!$C$21:$E$21,1,Inputs!$E$13)/MAX(Inputs!$E$86,1)/12,0)+IF(AND(Inputs!$E$87&gt;0,BG3&lt;=Inputs!$E$87*12),INDEX(Capex!$C$22:$E$22,1,Inputs!$E$13)/MAX(Inputs!$E$87,1)/12,0)+IF(AND(Inputs!$E$88&gt;0,BG3&lt;=Inputs!$E$88*12),INDEX(Capex!$C$23:$E$23,1,Inputs!$E$13)/MAX(Inputs!$E$88,1)/12,0)+IF(AND(Inputs!$E$89&gt;0,BG3&lt;=Inputs!$E$89*12),INDEX(Capex!$C$24:$E$24,1,Inputs!$E$13)/MAX(Inputs!$E$89,1)/12,0)+IF(AND(Inputs!$E$90&gt;0,BG3&lt;=Inputs!$E$90*12),INDEX(Capex!$C$25:$E$25,1,Inputs!$E$13)/MAX(Inputs!$E$90,1)/12,0)</f>
        <v/>
      </c>
      <c r="BH28" s="3">
        <f>IF(AND(Inputs!$E$84&gt;0,BH3&lt;=Inputs!$E$84*12),INDEX(Capex!$C$19:$E$19,1,Inputs!$E$13)/MAX(Inputs!$E$84,1)/12,0)+IF(AND(Inputs!$E$85&gt;0,BH3&lt;=Inputs!$E$85*12),INDEX(Capex!$C$20:$E$20,1,Inputs!$E$13)/MAX(Inputs!$E$85,1)/12,0)+IF(AND(Inputs!$E$86&gt;0,BH3&lt;=Inputs!$E$86*12),INDEX(Capex!$C$21:$E$21,1,Inputs!$E$13)/MAX(Inputs!$E$86,1)/12,0)+IF(AND(Inputs!$E$87&gt;0,BH3&lt;=Inputs!$E$87*12),INDEX(Capex!$C$22:$E$22,1,Inputs!$E$13)/MAX(Inputs!$E$87,1)/12,0)+IF(AND(Inputs!$E$88&gt;0,BH3&lt;=Inputs!$E$88*12),INDEX(Capex!$C$23:$E$23,1,Inputs!$E$13)/MAX(Inputs!$E$88,1)/12,0)+IF(AND(Inputs!$E$89&gt;0,BH3&lt;=Inputs!$E$89*12),INDEX(Capex!$C$24:$E$24,1,Inputs!$E$13)/MAX(Inputs!$E$89,1)/12,0)+IF(AND(Inputs!$E$90&gt;0,BH3&lt;=Inputs!$E$90*12),INDEX(Capex!$C$25:$E$25,1,Inputs!$E$13)/MAX(Inputs!$E$90,1)/12,0)</f>
        <v/>
      </c>
      <c r="BI28" s="3">
        <f>IF(AND(Inputs!$E$84&gt;0,BI3&lt;=Inputs!$E$84*12),INDEX(Capex!$C$19:$E$19,1,Inputs!$E$13)/MAX(Inputs!$E$84,1)/12,0)+IF(AND(Inputs!$E$85&gt;0,BI3&lt;=Inputs!$E$85*12),INDEX(Capex!$C$20:$E$20,1,Inputs!$E$13)/MAX(Inputs!$E$85,1)/12,0)+IF(AND(Inputs!$E$86&gt;0,BI3&lt;=Inputs!$E$86*12),INDEX(Capex!$C$21:$E$21,1,Inputs!$E$13)/MAX(Inputs!$E$86,1)/12,0)+IF(AND(Inputs!$E$87&gt;0,BI3&lt;=Inputs!$E$87*12),INDEX(Capex!$C$22:$E$22,1,Inputs!$E$13)/MAX(Inputs!$E$87,1)/12,0)+IF(AND(Inputs!$E$88&gt;0,BI3&lt;=Inputs!$E$88*12),INDEX(Capex!$C$23:$E$23,1,Inputs!$E$13)/MAX(Inputs!$E$88,1)/12,0)+IF(AND(Inputs!$E$89&gt;0,BI3&lt;=Inputs!$E$89*12),INDEX(Capex!$C$24:$E$24,1,Inputs!$E$13)/MAX(Inputs!$E$89,1)/12,0)+IF(AND(Inputs!$E$90&gt;0,BI3&lt;=Inputs!$E$90*12),INDEX(Capex!$C$25:$E$25,1,Inputs!$E$13)/MAX(Inputs!$E$90,1)/12,0)</f>
        <v/>
      </c>
      <c r="BJ28" s="3">
        <f>IF(AND(Inputs!$E$84&gt;0,BJ3&lt;=Inputs!$E$84*12),INDEX(Capex!$C$19:$E$19,1,Inputs!$E$13)/MAX(Inputs!$E$84,1)/12,0)+IF(AND(Inputs!$E$85&gt;0,BJ3&lt;=Inputs!$E$85*12),INDEX(Capex!$C$20:$E$20,1,Inputs!$E$13)/MAX(Inputs!$E$85,1)/12,0)+IF(AND(Inputs!$E$86&gt;0,BJ3&lt;=Inputs!$E$86*12),INDEX(Capex!$C$21:$E$21,1,Inputs!$E$13)/MAX(Inputs!$E$86,1)/12,0)+IF(AND(Inputs!$E$87&gt;0,BJ3&lt;=Inputs!$E$87*12),INDEX(Capex!$C$22:$E$22,1,Inputs!$E$13)/MAX(Inputs!$E$87,1)/12,0)+IF(AND(Inputs!$E$88&gt;0,BJ3&lt;=Inputs!$E$88*12),INDEX(Capex!$C$23:$E$23,1,Inputs!$E$13)/MAX(Inputs!$E$88,1)/12,0)+IF(AND(Inputs!$E$89&gt;0,BJ3&lt;=Inputs!$E$89*12),INDEX(Capex!$C$24:$E$24,1,Inputs!$E$13)/MAX(Inputs!$E$89,1)/12,0)+IF(AND(Inputs!$E$90&gt;0,BJ3&lt;=Inputs!$E$90*12),INDEX(Capex!$C$25:$E$25,1,Inputs!$E$13)/MAX(Inputs!$E$90,1)/12,0)</f>
        <v/>
      </c>
    </row>
    <row r="29">
      <c r="A29" t="inlineStr">
        <is>
          <t>EBIT</t>
        </is>
      </c>
      <c r="C29" s="3">
        <f>C27-C28</f>
        <v/>
      </c>
      <c r="D29" s="3">
        <f>D27-D28</f>
        <v/>
      </c>
      <c r="E29" s="3">
        <f>E27-E28</f>
        <v/>
      </c>
      <c r="F29" s="3">
        <f>F27-F28</f>
        <v/>
      </c>
      <c r="G29" s="3">
        <f>G27-G28</f>
        <v/>
      </c>
      <c r="H29" s="3">
        <f>H27-H28</f>
        <v/>
      </c>
      <c r="I29" s="3">
        <f>I27-I28</f>
        <v/>
      </c>
      <c r="J29" s="3">
        <f>J27-J28</f>
        <v/>
      </c>
      <c r="K29" s="3">
        <f>K27-K28</f>
        <v/>
      </c>
      <c r="L29" s="3">
        <f>L27-L28</f>
        <v/>
      </c>
      <c r="M29" s="3">
        <f>M27-M28</f>
        <v/>
      </c>
      <c r="N29" s="3">
        <f>N27-N28</f>
        <v/>
      </c>
      <c r="O29" s="3">
        <f>O27-O28</f>
        <v/>
      </c>
      <c r="P29" s="3">
        <f>P27-P28</f>
        <v/>
      </c>
      <c r="Q29" s="3">
        <f>Q27-Q28</f>
        <v/>
      </c>
      <c r="R29" s="3">
        <f>R27-R28</f>
        <v/>
      </c>
      <c r="S29" s="3">
        <f>S27-S28</f>
        <v/>
      </c>
      <c r="T29" s="3">
        <f>T27-T28</f>
        <v/>
      </c>
      <c r="U29" s="3">
        <f>U27-U28</f>
        <v/>
      </c>
      <c r="V29" s="3">
        <f>V27-V28</f>
        <v/>
      </c>
      <c r="W29" s="3">
        <f>W27-W28</f>
        <v/>
      </c>
      <c r="X29" s="3">
        <f>X27-X28</f>
        <v/>
      </c>
      <c r="Y29" s="3">
        <f>Y27-Y28</f>
        <v/>
      </c>
      <c r="Z29" s="3">
        <f>Z27-Z28</f>
        <v/>
      </c>
      <c r="AA29" s="3">
        <f>AA27-AA28</f>
        <v/>
      </c>
      <c r="AB29" s="3">
        <f>AB27-AB28</f>
        <v/>
      </c>
      <c r="AC29" s="3">
        <f>AC27-AC28</f>
        <v/>
      </c>
      <c r="AD29" s="3">
        <f>AD27-AD28</f>
        <v/>
      </c>
      <c r="AE29" s="3">
        <f>AE27-AE28</f>
        <v/>
      </c>
      <c r="AF29" s="3">
        <f>AF27-AF28</f>
        <v/>
      </c>
      <c r="AG29" s="3">
        <f>AG27-AG28</f>
        <v/>
      </c>
      <c r="AH29" s="3">
        <f>AH27-AH28</f>
        <v/>
      </c>
      <c r="AI29" s="3">
        <f>AI27-AI28</f>
        <v/>
      </c>
      <c r="AJ29" s="3">
        <f>AJ27-AJ28</f>
        <v/>
      </c>
      <c r="AK29" s="3">
        <f>AK27-AK28</f>
        <v/>
      </c>
      <c r="AL29" s="3">
        <f>AL27-AL28</f>
        <v/>
      </c>
      <c r="AM29" s="3">
        <f>AM27-AM28</f>
        <v/>
      </c>
      <c r="AN29" s="3">
        <f>AN27-AN28</f>
        <v/>
      </c>
      <c r="AO29" s="3">
        <f>AO27-AO28</f>
        <v/>
      </c>
      <c r="AP29" s="3">
        <f>AP27-AP28</f>
        <v/>
      </c>
      <c r="AQ29" s="3">
        <f>AQ27-AQ28</f>
        <v/>
      </c>
      <c r="AR29" s="3">
        <f>AR27-AR28</f>
        <v/>
      </c>
      <c r="AS29" s="3">
        <f>AS27-AS28</f>
        <v/>
      </c>
      <c r="AT29" s="3">
        <f>AT27-AT28</f>
        <v/>
      </c>
      <c r="AU29" s="3">
        <f>AU27-AU28</f>
        <v/>
      </c>
      <c r="AV29" s="3">
        <f>AV27-AV28</f>
        <v/>
      </c>
      <c r="AW29" s="3">
        <f>AW27-AW28</f>
        <v/>
      </c>
      <c r="AX29" s="3">
        <f>AX27-AX28</f>
        <v/>
      </c>
      <c r="AY29" s="3">
        <f>AY27-AY28</f>
        <v/>
      </c>
      <c r="AZ29" s="3">
        <f>AZ27-AZ28</f>
        <v/>
      </c>
      <c r="BA29" s="3">
        <f>BA27-BA28</f>
        <v/>
      </c>
      <c r="BB29" s="3">
        <f>BB27-BB28</f>
        <v/>
      </c>
      <c r="BC29" s="3">
        <f>BC27-BC28</f>
        <v/>
      </c>
      <c r="BD29" s="3">
        <f>BD27-BD28</f>
        <v/>
      </c>
      <c r="BE29" s="3">
        <f>BE27-BE28</f>
        <v/>
      </c>
      <c r="BF29" s="3">
        <f>BF27-BF28</f>
        <v/>
      </c>
      <c r="BG29" s="3">
        <f>BG27-BG28</f>
        <v/>
      </c>
      <c r="BH29" s="3">
        <f>BH27-BH28</f>
        <v/>
      </c>
      <c r="BI29" s="3">
        <f>BI27-BI28</f>
        <v/>
      </c>
      <c r="BJ29" s="3">
        <f>BJ27-BJ28</f>
        <v/>
      </c>
    </row>
    <row r="30">
      <c r="A30" t="inlineStr">
        <is>
          <t>Cash before tax/capex adj.</t>
        </is>
      </c>
      <c r="C30" s="3">
        <f>C27-(INDEX(Annual!$C$123:$G$123,1,C4)+INDEX(Annual!$C$126:$G$126,1,C4)+INDEX(Annual!$C$128:$G$128,1,C4))/12</f>
        <v/>
      </c>
      <c r="D30" s="3">
        <f>D27-(INDEX(Annual!$C$123:$G$123,1,D4)+INDEX(Annual!$C$126:$G$126,1,D4)+INDEX(Annual!$C$128:$G$128,1,D4))/12</f>
        <v/>
      </c>
      <c r="E30" s="3">
        <f>E27-(INDEX(Annual!$C$123:$G$123,1,E4)+INDEX(Annual!$C$126:$G$126,1,E4)+INDEX(Annual!$C$128:$G$128,1,E4))/12</f>
        <v/>
      </c>
      <c r="F30" s="3">
        <f>F27-(INDEX(Annual!$C$123:$G$123,1,F4)+INDEX(Annual!$C$126:$G$126,1,F4)+INDEX(Annual!$C$128:$G$128,1,F4))/12</f>
        <v/>
      </c>
      <c r="G30" s="3">
        <f>G27-(INDEX(Annual!$C$123:$G$123,1,G4)+INDEX(Annual!$C$126:$G$126,1,G4)+INDEX(Annual!$C$128:$G$128,1,G4))/12</f>
        <v/>
      </c>
      <c r="H30" s="3">
        <f>H27-(INDEX(Annual!$C$123:$G$123,1,H4)+INDEX(Annual!$C$126:$G$126,1,H4)+INDEX(Annual!$C$128:$G$128,1,H4))/12</f>
        <v/>
      </c>
      <c r="I30" s="3">
        <f>I27-(INDEX(Annual!$C$123:$G$123,1,I4)+INDEX(Annual!$C$126:$G$126,1,I4)+INDEX(Annual!$C$128:$G$128,1,I4))/12</f>
        <v/>
      </c>
      <c r="J30" s="3">
        <f>J27-(INDEX(Annual!$C$123:$G$123,1,J4)+INDEX(Annual!$C$126:$G$126,1,J4)+INDEX(Annual!$C$128:$G$128,1,J4))/12</f>
        <v/>
      </c>
      <c r="K30" s="3">
        <f>K27-(INDEX(Annual!$C$123:$G$123,1,K4)+INDEX(Annual!$C$126:$G$126,1,K4)+INDEX(Annual!$C$128:$G$128,1,K4))/12</f>
        <v/>
      </c>
      <c r="L30" s="3">
        <f>L27-(INDEX(Annual!$C$123:$G$123,1,L4)+INDEX(Annual!$C$126:$G$126,1,L4)+INDEX(Annual!$C$128:$G$128,1,L4))/12</f>
        <v/>
      </c>
      <c r="M30" s="3">
        <f>M27-(INDEX(Annual!$C$123:$G$123,1,M4)+INDEX(Annual!$C$126:$G$126,1,M4)+INDEX(Annual!$C$128:$G$128,1,M4))/12</f>
        <v/>
      </c>
      <c r="N30" s="3">
        <f>N27-(INDEX(Annual!$C$123:$G$123,1,N4)+INDEX(Annual!$C$126:$G$126,1,N4)+INDEX(Annual!$C$128:$G$128,1,N4))/12</f>
        <v/>
      </c>
      <c r="O30" s="3">
        <f>O27-(INDEX(Annual!$C$123:$G$123,1,O4)+INDEX(Annual!$C$126:$G$126,1,O4)+INDEX(Annual!$C$128:$G$128,1,O4))/12</f>
        <v/>
      </c>
      <c r="P30" s="3">
        <f>P27-(INDEX(Annual!$C$123:$G$123,1,P4)+INDEX(Annual!$C$126:$G$126,1,P4)+INDEX(Annual!$C$128:$G$128,1,P4))/12</f>
        <v/>
      </c>
      <c r="Q30" s="3">
        <f>Q27-(INDEX(Annual!$C$123:$G$123,1,Q4)+INDEX(Annual!$C$126:$G$126,1,Q4)+INDEX(Annual!$C$128:$G$128,1,Q4))/12</f>
        <v/>
      </c>
      <c r="R30" s="3">
        <f>R27-(INDEX(Annual!$C$123:$G$123,1,R4)+INDEX(Annual!$C$126:$G$126,1,R4)+INDEX(Annual!$C$128:$G$128,1,R4))/12</f>
        <v/>
      </c>
      <c r="S30" s="3">
        <f>S27-(INDEX(Annual!$C$123:$G$123,1,S4)+INDEX(Annual!$C$126:$G$126,1,S4)+INDEX(Annual!$C$128:$G$128,1,S4))/12</f>
        <v/>
      </c>
      <c r="T30" s="3">
        <f>T27-(INDEX(Annual!$C$123:$G$123,1,T4)+INDEX(Annual!$C$126:$G$126,1,T4)+INDEX(Annual!$C$128:$G$128,1,T4))/12</f>
        <v/>
      </c>
      <c r="U30" s="3">
        <f>U27-(INDEX(Annual!$C$123:$G$123,1,U4)+INDEX(Annual!$C$126:$G$126,1,U4)+INDEX(Annual!$C$128:$G$128,1,U4))/12</f>
        <v/>
      </c>
      <c r="V30" s="3">
        <f>V27-(INDEX(Annual!$C$123:$G$123,1,V4)+INDEX(Annual!$C$126:$G$126,1,V4)+INDEX(Annual!$C$128:$G$128,1,V4))/12</f>
        <v/>
      </c>
      <c r="W30" s="3">
        <f>W27-(INDEX(Annual!$C$123:$G$123,1,W4)+INDEX(Annual!$C$126:$G$126,1,W4)+INDEX(Annual!$C$128:$G$128,1,W4))/12</f>
        <v/>
      </c>
      <c r="X30" s="3">
        <f>X27-(INDEX(Annual!$C$123:$G$123,1,X4)+INDEX(Annual!$C$126:$G$126,1,X4)+INDEX(Annual!$C$128:$G$128,1,X4))/12</f>
        <v/>
      </c>
      <c r="Y30" s="3">
        <f>Y27-(INDEX(Annual!$C$123:$G$123,1,Y4)+INDEX(Annual!$C$126:$G$126,1,Y4)+INDEX(Annual!$C$128:$G$128,1,Y4))/12</f>
        <v/>
      </c>
      <c r="Z30" s="3">
        <f>Z27-(INDEX(Annual!$C$123:$G$123,1,Z4)+INDEX(Annual!$C$126:$G$126,1,Z4)+INDEX(Annual!$C$128:$G$128,1,Z4))/12</f>
        <v/>
      </c>
      <c r="AA30" s="3">
        <f>AA27-(INDEX(Annual!$C$123:$G$123,1,AA4)+INDEX(Annual!$C$126:$G$126,1,AA4)+INDEX(Annual!$C$128:$G$128,1,AA4))/12</f>
        <v/>
      </c>
      <c r="AB30" s="3">
        <f>AB27-(INDEX(Annual!$C$123:$G$123,1,AB4)+INDEX(Annual!$C$126:$G$126,1,AB4)+INDEX(Annual!$C$128:$G$128,1,AB4))/12</f>
        <v/>
      </c>
      <c r="AC30" s="3">
        <f>AC27-(INDEX(Annual!$C$123:$G$123,1,AC4)+INDEX(Annual!$C$126:$G$126,1,AC4)+INDEX(Annual!$C$128:$G$128,1,AC4))/12</f>
        <v/>
      </c>
      <c r="AD30" s="3">
        <f>AD27-(INDEX(Annual!$C$123:$G$123,1,AD4)+INDEX(Annual!$C$126:$G$126,1,AD4)+INDEX(Annual!$C$128:$G$128,1,AD4))/12</f>
        <v/>
      </c>
      <c r="AE30" s="3">
        <f>AE27-(INDEX(Annual!$C$123:$G$123,1,AE4)+INDEX(Annual!$C$126:$G$126,1,AE4)+INDEX(Annual!$C$128:$G$128,1,AE4))/12</f>
        <v/>
      </c>
      <c r="AF30" s="3">
        <f>AF27-(INDEX(Annual!$C$123:$G$123,1,AF4)+INDEX(Annual!$C$126:$G$126,1,AF4)+INDEX(Annual!$C$128:$G$128,1,AF4))/12</f>
        <v/>
      </c>
      <c r="AG30" s="3">
        <f>AG27-(INDEX(Annual!$C$123:$G$123,1,AG4)+INDEX(Annual!$C$126:$G$126,1,AG4)+INDEX(Annual!$C$128:$G$128,1,AG4))/12</f>
        <v/>
      </c>
      <c r="AH30" s="3">
        <f>AH27-(INDEX(Annual!$C$123:$G$123,1,AH4)+INDEX(Annual!$C$126:$G$126,1,AH4)+INDEX(Annual!$C$128:$G$128,1,AH4))/12</f>
        <v/>
      </c>
      <c r="AI30" s="3">
        <f>AI27-(INDEX(Annual!$C$123:$G$123,1,AI4)+INDEX(Annual!$C$126:$G$126,1,AI4)+INDEX(Annual!$C$128:$G$128,1,AI4))/12</f>
        <v/>
      </c>
      <c r="AJ30" s="3">
        <f>AJ27-(INDEX(Annual!$C$123:$G$123,1,AJ4)+INDEX(Annual!$C$126:$G$126,1,AJ4)+INDEX(Annual!$C$128:$G$128,1,AJ4))/12</f>
        <v/>
      </c>
      <c r="AK30" s="3">
        <f>AK27-(INDEX(Annual!$C$123:$G$123,1,AK4)+INDEX(Annual!$C$126:$G$126,1,AK4)+INDEX(Annual!$C$128:$G$128,1,AK4))/12</f>
        <v/>
      </c>
      <c r="AL30" s="3">
        <f>AL27-(INDEX(Annual!$C$123:$G$123,1,AL4)+INDEX(Annual!$C$126:$G$126,1,AL4)+INDEX(Annual!$C$128:$G$128,1,AL4))/12</f>
        <v/>
      </c>
      <c r="AM30" s="3">
        <f>AM27-(INDEX(Annual!$C$123:$G$123,1,AM4)+INDEX(Annual!$C$126:$G$126,1,AM4)+INDEX(Annual!$C$128:$G$128,1,AM4))/12</f>
        <v/>
      </c>
      <c r="AN30" s="3">
        <f>AN27-(INDEX(Annual!$C$123:$G$123,1,AN4)+INDEX(Annual!$C$126:$G$126,1,AN4)+INDEX(Annual!$C$128:$G$128,1,AN4))/12</f>
        <v/>
      </c>
      <c r="AO30" s="3">
        <f>AO27-(INDEX(Annual!$C$123:$G$123,1,AO4)+INDEX(Annual!$C$126:$G$126,1,AO4)+INDEX(Annual!$C$128:$G$128,1,AO4))/12</f>
        <v/>
      </c>
      <c r="AP30" s="3">
        <f>AP27-(INDEX(Annual!$C$123:$G$123,1,AP4)+INDEX(Annual!$C$126:$G$126,1,AP4)+INDEX(Annual!$C$128:$G$128,1,AP4))/12</f>
        <v/>
      </c>
      <c r="AQ30" s="3">
        <f>AQ27-(INDEX(Annual!$C$123:$G$123,1,AQ4)+INDEX(Annual!$C$126:$G$126,1,AQ4)+INDEX(Annual!$C$128:$G$128,1,AQ4))/12</f>
        <v/>
      </c>
      <c r="AR30" s="3">
        <f>AR27-(INDEX(Annual!$C$123:$G$123,1,AR4)+INDEX(Annual!$C$126:$G$126,1,AR4)+INDEX(Annual!$C$128:$G$128,1,AR4))/12</f>
        <v/>
      </c>
      <c r="AS30" s="3">
        <f>AS27-(INDEX(Annual!$C$123:$G$123,1,AS4)+INDEX(Annual!$C$126:$G$126,1,AS4)+INDEX(Annual!$C$128:$G$128,1,AS4))/12</f>
        <v/>
      </c>
      <c r="AT30" s="3">
        <f>AT27-(INDEX(Annual!$C$123:$G$123,1,AT4)+INDEX(Annual!$C$126:$G$126,1,AT4)+INDEX(Annual!$C$128:$G$128,1,AT4))/12</f>
        <v/>
      </c>
      <c r="AU30" s="3">
        <f>AU27-(INDEX(Annual!$C$123:$G$123,1,AU4)+INDEX(Annual!$C$126:$G$126,1,AU4)+INDEX(Annual!$C$128:$G$128,1,AU4))/12</f>
        <v/>
      </c>
      <c r="AV30" s="3">
        <f>AV27-(INDEX(Annual!$C$123:$G$123,1,AV4)+INDEX(Annual!$C$126:$G$126,1,AV4)+INDEX(Annual!$C$128:$G$128,1,AV4))/12</f>
        <v/>
      </c>
      <c r="AW30" s="3">
        <f>AW27-(INDEX(Annual!$C$123:$G$123,1,AW4)+INDEX(Annual!$C$126:$G$126,1,AW4)+INDEX(Annual!$C$128:$G$128,1,AW4))/12</f>
        <v/>
      </c>
      <c r="AX30" s="3">
        <f>AX27-(INDEX(Annual!$C$123:$G$123,1,AX4)+INDEX(Annual!$C$126:$G$126,1,AX4)+INDEX(Annual!$C$128:$G$128,1,AX4))/12</f>
        <v/>
      </c>
      <c r="AY30" s="3">
        <f>AY27-(INDEX(Annual!$C$123:$G$123,1,AY4)+INDEX(Annual!$C$126:$G$126,1,AY4)+INDEX(Annual!$C$128:$G$128,1,AY4))/12</f>
        <v/>
      </c>
      <c r="AZ30" s="3">
        <f>AZ27-(INDEX(Annual!$C$123:$G$123,1,AZ4)+INDEX(Annual!$C$126:$G$126,1,AZ4)+INDEX(Annual!$C$128:$G$128,1,AZ4))/12</f>
        <v/>
      </c>
      <c r="BA30" s="3">
        <f>BA27-(INDEX(Annual!$C$123:$G$123,1,BA4)+INDEX(Annual!$C$126:$G$126,1,BA4)+INDEX(Annual!$C$128:$G$128,1,BA4))/12</f>
        <v/>
      </c>
      <c r="BB30" s="3">
        <f>BB27-(INDEX(Annual!$C$123:$G$123,1,BB4)+INDEX(Annual!$C$126:$G$126,1,BB4)+INDEX(Annual!$C$128:$G$128,1,BB4))/12</f>
        <v/>
      </c>
      <c r="BC30" s="3">
        <f>BC27-(INDEX(Annual!$C$123:$G$123,1,BC4)+INDEX(Annual!$C$126:$G$126,1,BC4)+INDEX(Annual!$C$128:$G$128,1,BC4))/12</f>
        <v/>
      </c>
      <c r="BD30" s="3">
        <f>BD27-(INDEX(Annual!$C$123:$G$123,1,BD4)+INDEX(Annual!$C$126:$G$126,1,BD4)+INDEX(Annual!$C$128:$G$128,1,BD4))/12</f>
        <v/>
      </c>
      <c r="BE30" s="3">
        <f>BE27-(INDEX(Annual!$C$123:$G$123,1,BE4)+INDEX(Annual!$C$126:$G$126,1,BE4)+INDEX(Annual!$C$128:$G$128,1,BE4))/12</f>
        <v/>
      </c>
      <c r="BF30" s="3">
        <f>BF27-(INDEX(Annual!$C$123:$G$123,1,BF4)+INDEX(Annual!$C$126:$G$126,1,BF4)+INDEX(Annual!$C$128:$G$128,1,BF4))/12</f>
        <v/>
      </c>
      <c r="BG30" s="3">
        <f>BG27-(INDEX(Annual!$C$123:$G$123,1,BG4)+INDEX(Annual!$C$126:$G$126,1,BG4)+INDEX(Annual!$C$128:$G$128,1,BG4))/12</f>
        <v/>
      </c>
      <c r="BH30" s="3">
        <f>BH27-(INDEX(Annual!$C$123:$G$123,1,BH4)+INDEX(Annual!$C$126:$G$126,1,BH4)+INDEX(Annual!$C$128:$G$128,1,BH4))/12</f>
        <v/>
      </c>
      <c r="BI30" s="3">
        <f>BI27-(INDEX(Annual!$C$123:$G$123,1,BI4)+INDEX(Annual!$C$126:$G$126,1,BI4)+INDEX(Annual!$C$128:$G$128,1,BI4))/12</f>
        <v/>
      </c>
      <c r="BJ30" s="3">
        <f>BJ27-(INDEX(Annual!$C$123:$G$123,1,BJ4)+INDEX(Annual!$C$126:$G$126,1,BJ4)+INDEX(Annual!$C$128:$G$128,1,BJ4))/12</f>
        <v/>
      </c>
    </row>
    <row r="31">
      <c r="A31" s="18" t="inlineStr">
        <is>
          <t>Cumulative cash (after investment)</t>
        </is>
      </c>
      <c r="C31" s="3">
        <f>-INDEX(Capex!$C$15:$E$15,1,Inputs!$E$13)+C30</f>
        <v/>
      </c>
      <c r="D31" s="3">
        <f>C31+D30</f>
        <v/>
      </c>
      <c r="E31" s="3">
        <f>D31+E30</f>
        <v/>
      </c>
      <c r="F31" s="3">
        <f>E31+F30</f>
        <v/>
      </c>
      <c r="G31" s="3">
        <f>F31+G30</f>
        <v/>
      </c>
      <c r="H31" s="3">
        <f>G31+H30</f>
        <v/>
      </c>
      <c r="I31" s="3">
        <f>H31+I30</f>
        <v/>
      </c>
      <c r="J31" s="3">
        <f>I31+J30</f>
        <v/>
      </c>
      <c r="K31" s="3">
        <f>J31+K30</f>
        <v/>
      </c>
      <c r="L31" s="3">
        <f>K31+L30</f>
        <v/>
      </c>
      <c r="M31" s="3">
        <f>L31+M30</f>
        <v/>
      </c>
      <c r="N31" s="3">
        <f>M31+N30</f>
        <v/>
      </c>
      <c r="O31" s="3">
        <f>N31+O30</f>
        <v/>
      </c>
      <c r="P31" s="3">
        <f>O31+P30</f>
        <v/>
      </c>
      <c r="Q31" s="3">
        <f>P31+Q30</f>
        <v/>
      </c>
      <c r="R31" s="3">
        <f>Q31+R30</f>
        <v/>
      </c>
      <c r="S31" s="3">
        <f>R31+S30</f>
        <v/>
      </c>
      <c r="T31" s="3">
        <f>S31+T30</f>
        <v/>
      </c>
      <c r="U31" s="3">
        <f>T31+U30</f>
        <v/>
      </c>
      <c r="V31" s="3">
        <f>U31+V30</f>
        <v/>
      </c>
      <c r="W31" s="3">
        <f>V31+W30</f>
        <v/>
      </c>
      <c r="X31" s="3">
        <f>W31+X30</f>
        <v/>
      </c>
      <c r="Y31" s="3">
        <f>X31+Y30</f>
        <v/>
      </c>
      <c r="Z31" s="3">
        <f>Y31+Z30</f>
        <v/>
      </c>
      <c r="AA31" s="3">
        <f>Z31+AA30</f>
        <v/>
      </c>
      <c r="AB31" s="3">
        <f>AA31+AB30</f>
        <v/>
      </c>
      <c r="AC31" s="3">
        <f>AB31+AC30</f>
        <v/>
      </c>
      <c r="AD31" s="3">
        <f>AC31+AD30</f>
        <v/>
      </c>
      <c r="AE31" s="3">
        <f>AD31+AE30</f>
        <v/>
      </c>
      <c r="AF31" s="3">
        <f>AE31+AF30</f>
        <v/>
      </c>
      <c r="AG31" s="3">
        <f>AF31+AG30</f>
        <v/>
      </c>
      <c r="AH31" s="3">
        <f>AG31+AH30</f>
        <v/>
      </c>
      <c r="AI31" s="3">
        <f>AH31+AI30</f>
        <v/>
      </c>
      <c r="AJ31" s="3">
        <f>AI31+AJ30</f>
        <v/>
      </c>
      <c r="AK31" s="3">
        <f>AJ31+AK30</f>
        <v/>
      </c>
      <c r="AL31" s="3">
        <f>AK31+AL30</f>
        <v/>
      </c>
      <c r="AM31" s="3">
        <f>AL31+AM30</f>
        <v/>
      </c>
      <c r="AN31" s="3">
        <f>AM31+AN30</f>
        <v/>
      </c>
      <c r="AO31" s="3">
        <f>AN31+AO30</f>
        <v/>
      </c>
      <c r="AP31" s="3">
        <f>AO31+AP30</f>
        <v/>
      </c>
      <c r="AQ31" s="3">
        <f>AP31+AQ30</f>
        <v/>
      </c>
      <c r="AR31" s="3">
        <f>AQ31+AR30</f>
        <v/>
      </c>
      <c r="AS31" s="3">
        <f>AR31+AS30</f>
        <v/>
      </c>
      <c r="AT31" s="3">
        <f>AS31+AT30</f>
        <v/>
      </c>
      <c r="AU31" s="3">
        <f>AT31+AU30</f>
        <v/>
      </c>
      <c r="AV31" s="3">
        <f>AU31+AV30</f>
        <v/>
      </c>
      <c r="AW31" s="3">
        <f>AV31+AW30</f>
        <v/>
      </c>
      <c r="AX31" s="3">
        <f>AW31+AX30</f>
        <v/>
      </c>
      <c r="AY31" s="3">
        <f>AX31+AY30</f>
        <v/>
      </c>
      <c r="AZ31" s="3">
        <f>AY31+AZ30</f>
        <v/>
      </c>
      <c r="BA31" s="3">
        <f>AZ31+BA30</f>
        <v/>
      </c>
      <c r="BB31" s="3">
        <f>BA31+BB30</f>
        <v/>
      </c>
      <c r="BC31" s="3">
        <f>BB31+BC30</f>
        <v/>
      </c>
      <c r="BD31" s="3">
        <f>BC31+BD30</f>
        <v/>
      </c>
      <c r="BE31" s="3">
        <f>BD31+BE30</f>
        <v/>
      </c>
      <c r="BF31" s="3">
        <f>BE31+BF30</f>
        <v/>
      </c>
      <c r="BG31" s="3">
        <f>BF31+BG30</f>
        <v/>
      </c>
      <c r="BH31" s="3">
        <f>BG31+BH30</f>
        <v/>
      </c>
      <c r="BI31" s="3">
        <f>BH31+BI30</f>
        <v/>
      </c>
      <c r="BJ31" s="3">
        <f>BI31+BJ30</f>
        <v/>
      </c>
    </row>
    <row r="32">
      <c r="A32" t="inlineStr">
        <is>
          <t>Payback flag</t>
        </is>
      </c>
      <c r="C32" s="7">
        <f>IF(C31&gt;=0,C3,999)</f>
        <v/>
      </c>
      <c r="D32" s="7">
        <f>IF(D31&gt;=0,D3,999)</f>
        <v/>
      </c>
      <c r="E32" s="7">
        <f>IF(E31&gt;=0,E3,999)</f>
        <v/>
      </c>
      <c r="F32" s="7">
        <f>IF(F31&gt;=0,F3,999)</f>
        <v/>
      </c>
      <c r="G32" s="7">
        <f>IF(G31&gt;=0,G3,999)</f>
        <v/>
      </c>
      <c r="H32" s="7">
        <f>IF(H31&gt;=0,H3,999)</f>
        <v/>
      </c>
      <c r="I32" s="7">
        <f>IF(I31&gt;=0,I3,999)</f>
        <v/>
      </c>
      <c r="J32" s="7">
        <f>IF(J31&gt;=0,J3,999)</f>
        <v/>
      </c>
      <c r="K32" s="7">
        <f>IF(K31&gt;=0,K3,999)</f>
        <v/>
      </c>
      <c r="L32" s="7">
        <f>IF(L31&gt;=0,L3,999)</f>
        <v/>
      </c>
      <c r="M32" s="7">
        <f>IF(M31&gt;=0,M3,999)</f>
        <v/>
      </c>
      <c r="N32" s="7">
        <f>IF(N31&gt;=0,N3,999)</f>
        <v/>
      </c>
      <c r="O32" s="7">
        <f>IF(O31&gt;=0,O3,999)</f>
        <v/>
      </c>
      <c r="P32" s="7">
        <f>IF(P31&gt;=0,P3,999)</f>
        <v/>
      </c>
      <c r="Q32" s="7">
        <f>IF(Q31&gt;=0,Q3,999)</f>
        <v/>
      </c>
      <c r="R32" s="7">
        <f>IF(R31&gt;=0,R3,999)</f>
        <v/>
      </c>
      <c r="S32" s="7">
        <f>IF(S31&gt;=0,S3,999)</f>
        <v/>
      </c>
      <c r="T32" s="7">
        <f>IF(T31&gt;=0,T3,999)</f>
        <v/>
      </c>
      <c r="U32" s="7">
        <f>IF(U31&gt;=0,U3,999)</f>
        <v/>
      </c>
      <c r="V32" s="7">
        <f>IF(V31&gt;=0,V3,999)</f>
        <v/>
      </c>
      <c r="W32" s="7">
        <f>IF(W31&gt;=0,W3,999)</f>
        <v/>
      </c>
      <c r="X32" s="7">
        <f>IF(X31&gt;=0,X3,999)</f>
        <v/>
      </c>
      <c r="Y32" s="7">
        <f>IF(Y31&gt;=0,Y3,999)</f>
        <v/>
      </c>
      <c r="Z32" s="7">
        <f>IF(Z31&gt;=0,Z3,999)</f>
        <v/>
      </c>
      <c r="AA32" s="7">
        <f>IF(AA31&gt;=0,AA3,999)</f>
        <v/>
      </c>
      <c r="AB32" s="7">
        <f>IF(AB31&gt;=0,AB3,999)</f>
        <v/>
      </c>
      <c r="AC32" s="7">
        <f>IF(AC31&gt;=0,AC3,999)</f>
        <v/>
      </c>
      <c r="AD32" s="7">
        <f>IF(AD31&gt;=0,AD3,999)</f>
        <v/>
      </c>
      <c r="AE32" s="7">
        <f>IF(AE31&gt;=0,AE3,999)</f>
        <v/>
      </c>
      <c r="AF32" s="7">
        <f>IF(AF31&gt;=0,AF3,999)</f>
        <v/>
      </c>
      <c r="AG32" s="7">
        <f>IF(AG31&gt;=0,AG3,999)</f>
        <v/>
      </c>
      <c r="AH32" s="7">
        <f>IF(AH31&gt;=0,AH3,999)</f>
        <v/>
      </c>
      <c r="AI32" s="7">
        <f>IF(AI31&gt;=0,AI3,999)</f>
        <v/>
      </c>
      <c r="AJ32" s="7">
        <f>IF(AJ31&gt;=0,AJ3,999)</f>
        <v/>
      </c>
      <c r="AK32" s="7">
        <f>IF(AK31&gt;=0,AK3,999)</f>
        <v/>
      </c>
      <c r="AL32" s="7">
        <f>IF(AL31&gt;=0,AL3,999)</f>
        <v/>
      </c>
      <c r="AM32" s="7">
        <f>IF(AM31&gt;=0,AM3,999)</f>
        <v/>
      </c>
      <c r="AN32" s="7">
        <f>IF(AN31&gt;=0,AN3,999)</f>
        <v/>
      </c>
      <c r="AO32" s="7">
        <f>IF(AO31&gt;=0,AO3,999)</f>
        <v/>
      </c>
      <c r="AP32" s="7">
        <f>IF(AP31&gt;=0,AP3,999)</f>
        <v/>
      </c>
      <c r="AQ32" s="7">
        <f>IF(AQ31&gt;=0,AQ3,999)</f>
        <v/>
      </c>
      <c r="AR32" s="7">
        <f>IF(AR31&gt;=0,AR3,999)</f>
        <v/>
      </c>
      <c r="AS32" s="7">
        <f>IF(AS31&gt;=0,AS3,999)</f>
        <v/>
      </c>
      <c r="AT32" s="7">
        <f>IF(AT31&gt;=0,AT3,999)</f>
        <v/>
      </c>
      <c r="AU32" s="7">
        <f>IF(AU31&gt;=0,AU3,999)</f>
        <v/>
      </c>
      <c r="AV32" s="7">
        <f>IF(AV31&gt;=0,AV3,999)</f>
        <v/>
      </c>
      <c r="AW32" s="7">
        <f>IF(AW31&gt;=0,AW3,999)</f>
        <v/>
      </c>
      <c r="AX32" s="7">
        <f>IF(AX31&gt;=0,AX3,999)</f>
        <v/>
      </c>
      <c r="AY32" s="7">
        <f>IF(AY31&gt;=0,AY3,999)</f>
        <v/>
      </c>
      <c r="AZ32" s="7">
        <f>IF(AZ31&gt;=0,AZ3,999)</f>
        <v/>
      </c>
      <c r="BA32" s="7">
        <f>IF(BA31&gt;=0,BA3,999)</f>
        <v/>
      </c>
      <c r="BB32" s="7">
        <f>IF(BB31&gt;=0,BB3,999)</f>
        <v/>
      </c>
      <c r="BC32" s="7">
        <f>IF(BC31&gt;=0,BC3,999)</f>
        <v/>
      </c>
      <c r="BD32" s="7">
        <f>IF(BD31&gt;=0,BD3,999)</f>
        <v/>
      </c>
      <c r="BE32" s="7">
        <f>IF(BE31&gt;=0,BE3,999)</f>
        <v/>
      </c>
      <c r="BF32" s="7">
        <f>IF(BF31&gt;=0,BF3,999)</f>
        <v/>
      </c>
      <c r="BG32" s="7">
        <f>IF(BG31&gt;=0,BG3,999)</f>
        <v/>
      </c>
      <c r="BH32" s="7">
        <f>IF(BH31&gt;=0,BH3,999)</f>
        <v/>
      </c>
      <c r="BI32" s="7">
        <f>IF(BI31&gt;=0,BI3,999)</f>
        <v/>
      </c>
      <c r="BJ32" s="7">
        <f>IF(BJ31&gt;=0,BJ3,999)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2026-10-10T10:14:55Z</dcterms:created>
  <dcterms:modified xmlns:dcterms="http://purl.org/dc/terms/" xmlns:xsi="http://www.w3.org/2001/XMLSchema-instance" xsi:type="dcterms:W3CDTF">2026-10-10T10:14:55Z</dcterms:modified>
</cp:coreProperties>
</file>