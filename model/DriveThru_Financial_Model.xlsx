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Annual" sheetId="3" state="visible" r:id="rId3"/>
    <sheet xmlns:r="http://schemas.openxmlformats.org/officeDocument/2006/relationships" name="BreakEve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apex" sheetId="6" state="visible" r:id="rId6"/>
    <sheet xmlns:r="http://schemas.openxmlformats.org/officeDocument/2006/relationships" name="M_Cons" sheetId="7" state="visible" r:id="rId7"/>
    <sheet xmlns:r="http://schemas.openxmlformats.org/officeDocument/2006/relationships" name="M_Base" sheetId="8" state="visible" r:id="rId8"/>
    <sheet xmlns:r="http://schemas.openxmlformats.org/officeDocument/2006/relationships" name="M_Op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&quot;$&quot;#,##0"/>
    <numFmt numFmtId="166" formatCode="0.0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00FFFFFF"/>
    </font>
    <font>
      <name val="Calibri"/>
      <b val="1"/>
    </font>
    <font>
      <name val="Calibri"/>
      <color rgb="001F4FB4"/>
    </font>
    <font>
      <b val="1"/>
      <sz val="13"/>
    </font>
    <font>
      <b val="1"/>
      <sz val="20"/>
    </font>
  </fonts>
  <fills count="5">
    <fill>
      <patternFill/>
    </fill>
    <fill>
      <patternFill patternType="gray125"/>
    </fill>
    <fill>
      <patternFill patternType="solid">
        <fgColor rgb="002B3A2F"/>
      </patternFill>
    </fill>
    <fill>
      <patternFill patternType="solid">
        <fgColor rgb="00EEE9E0"/>
      </patternFill>
    </fill>
    <fill>
      <patternFill patternType="solid">
        <fgColor rgb="00FFF6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6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0" fontId="1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4" fontId="4" fillId="4" borderId="0" pivotButton="0" quotePrefix="0" xfId="0"/>
    <xf numFmtId="0" fontId="4" fillId="4" borderId="0" pivotButton="0" quotePrefix="0" xfId="0"/>
    <xf numFmtId="10" fontId="4" fillId="4" borderId="0" pivotButton="0" quotePrefix="0" xfId="0"/>
    <xf numFmtId="3" fontId="4" fillId="4" borderId="0" pivotButton="0" quotePrefix="0" xfId="0"/>
    <xf numFmtId="2" fontId="4" fillId="4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3" fontId="4" fillId="0" borderId="0" pivotButton="0" quotePrefix="0" xfId="0"/>
    <xf numFmtId="167" fontId="4" fillId="0" borderId="0" pivotButton="0" quotePrefix="0" xfId="0"/>
    <xf numFmtId="164" fontId="4" fillId="4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scenario: net sales and EBITDA (AMD)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'Annual'!$C$59:$G$59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val>
            <numRef>
              <f>'Annual'!$C$75:$G$75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Year-3 EBITDA: low vs high case by driver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'Sensitivity'!$A$5:$A$12</f>
            </numRef>
          </cat>
          <val>
            <numRef>
              <f>'Sensitivity'!$B$5:$B$12</f>
            </numRef>
          </val>
        </ser>
        <ser>
          <idx val="1"/>
          <order val="1"/>
          <tx>
            <strRef>
              <f>'Sensitivity'!C4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'Sensitivity'!$A$5:$A$12</f>
            </numRef>
          </cat>
          <val>
            <numRef>
              <f>'Sensitivity'!$C$5:$C$12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3" max="3"/>
    <col width="18" customWidth="1" min="4" max="4"/>
    <col width="18" customWidth="1" min="5" max="5"/>
  </cols>
  <sheetData>
    <row r="1">
      <c r="A1" s="1" t="inlineStr">
        <is>
          <t>CHAMPA — highway drive-thru: 5-year financial model</t>
        </is>
      </c>
    </row>
    <row r="3">
      <c r="A3" t="inlineStr">
        <is>
          <t>Purpose: investment decision support for the first unit (recommended mid-range concept). All values AMD, nominal, excl. VAT unless stated.</t>
        </is>
      </c>
    </row>
    <row r="4">
      <c r="A4" t="inlineStr">
        <is>
          <t>How to use: change blue cells on 'Inputs' (and 'Capex'); every other sheet recalculates. Concept switch: Inputs › concept_index.</t>
        </is>
      </c>
    </row>
    <row r="5">
      <c r="A5" t="inlineStr">
        <is>
          <t>Evidence: every input carries a status tag and source; research files are in research/. Placeholders must be replaced by fieldwork (traffic counts, quotes).</t>
        </is>
      </c>
    </row>
    <row r="7">
      <c r="A7" s="2" t="inlineStr">
        <is>
          <t>Scenario summary</t>
        </is>
      </c>
      <c r="B7" s="2" t="inlineStr"/>
      <c r="C7" s="2" t="inlineStr">
        <is>
          <t>Conservative</t>
        </is>
      </c>
      <c r="D7" s="2" t="inlineStr">
        <is>
          <t>Base</t>
        </is>
      </c>
      <c r="E7" s="2" t="inlineStr">
        <is>
          <t>Optimistic</t>
        </is>
      </c>
    </row>
    <row r="8">
      <c r="A8" t="inlineStr">
        <is>
          <t>Total investment (AMD)</t>
        </is>
      </c>
      <c r="C8" s="3">
        <f>Annual!C40</f>
        <v/>
      </c>
      <c r="D8" s="3">
        <f>Annual!C91</f>
        <v/>
      </c>
      <c r="E8" s="3">
        <f>Annual!C142</f>
        <v/>
      </c>
    </row>
    <row r="9">
      <c r="A9" t="inlineStr">
        <is>
          <t>Total investment (USD)</t>
        </is>
      </c>
      <c r="C9" s="4">
        <f>Annual!C41</f>
        <v/>
      </c>
      <c r="D9" s="4">
        <f>Annual!C92</f>
        <v/>
      </c>
      <c r="E9" s="4">
        <f>Annual!C143</f>
        <v/>
      </c>
    </row>
    <row r="10">
      <c r="A10" t="inlineStr">
        <is>
          <t>Year-1 net sales</t>
        </is>
      </c>
      <c r="C10" s="3">
        <f>Annual!C8</f>
        <v/>
      </c>
      <c r="D10" s="3">
        <f>Annual!C59</f>
        <v/>
      </c>
      <c r="E10" s="3">
        <f>Annual!C110</f>
        <v/>
      </c>
    </row>
    <row r="11">
      <c r="A11" t="inlineStr">
        <is>
          <t>Year-3 net sales</t>
        </is>
      </c>
      <c r="C11" s="3">
        <f>Annual!E8</f>
        <v/>
      </c>
      <c r="D11" s="3">
        <f>Annual!E59</f>
        <v/>
      </c>
      <c r="E11" s="3">
        <f>Annual!E110</f>
        <v/>
      </c>
    </row>
    <row r="12">
      <c r="A12" t="inlineStr">
        <is>
          <t>Year-1 transactions/day</t>
        </is>
      </c>
      <c r="C12" s="5">
        <f>Annual!C5</f>
        <v/>
      </c>
      <c r="D12" s="5">
        <f>Annual!C56</f>
        <v/>
      </c>
      <c r="E12" s="5">
        <f>Annual!C107</f>
        <v/>
      </c>
    </row>
    <row r="13">
      <c r="A13" t="inlineStr">
        <is>
          <t>Year-3 transactions/day</t>
        </is>
      </c>
      <c r="C13" s="5">
        <f>Annual!E5</f>
        <v/>
      </c>
      <c r="D13" s="5">
        <f>Annual!E56</f>
        <v/>
      </c>
      <c r="E13" s="5">
        <f>Annual!E107</f>
        <v/>
      </c>
    </row>
    <row r="14">
      <c r="A14" t="inlineStr">
        <is>
          <t>Year-1 EBITDA</t>
        </is>
      </c>
      <c r="C14" s="3">
        <f>Annual!C24</f>
        <v/>
      </c>
      <c r="D14" s="3">
        <f>Annual!C75</f>
        <v/>
      </c>
      <c r="E14" s="3">
        <f>Annual!C126</f>
        <v/>
      </c>
    </row>
    <row r="15">
      <c r="A15" t="inlineStr">
        <is>
          <t>Year-3 EBITDA</t>
        </is>
      </c>
      <c r="C15" s="3">
        <f>Annual!E24</f>
        <v/>
      </c>
      <c r="D15" s="3">
        <f>Annual!E75</f>
        <v/>
      </c>
      <c r="E15" s="3">
        <f>Annual!E126</f>
        <v/>
      </c>
    </row>
    <row r="16">
      <c r="A16" t="inlineStr">
        <is>
          <t>Year-3 EBITDA margin</t>
        </is>
      </c>
      <c r="C16" s="6">
        <f>Annual!E25</f>
        <v/>
      </c>
      <c r="D16" s="6">
        <f>Annual!E76</f>
        <v/>
      </c>
      <c r="E16" s="6">
        <f>Annual!E127</f>
        <v/>
      </c>
    </row>
    <row r="17">
      <c r="A17" t="inlineStr">
        <is>
          <t>Year-5 net income</t>
        </is>
      </c>
      <c r="C17" s="3">
        <f>Annual!G31</f>
        <v/>
      </c>
      <c r="D17" s="3">
        <f>Annual!G82</f>
        <v/>
      </c>
      <c r="E17" s="3">
        <f>Annual!G133</f>
        <v/>
      </c>
    </row>
    <row r="18">
      <c r="A18" t="inlineStr">
        <is>
          <t>Payback (months)</t>
        </is>
      </c>
      <c r="C18" s="7">
        <f>Annual!C42</f>
        <v/>
      </c>
      <c r="D18" s="7">
        <f>Annual!C93</f>
        <v/>
      </c>
      <c r="E18" s="7">
        <f>Annual!C144</f>
        <v/>
      </c>
    </row>
    <row r="19">
      <c r="A19" t="inlineStr">
        <is>
          <t>NPV (5 yrs + residual)</t>
        </is>
      </c>
      <c r="C19" s="3">
        <f>Annual!C44</f>
        <v/>
      </c>
      <c r="D19" s="3">
        <f>Annual!C95</f>
        <v/>
      </c>
      <c r="E19" s="3">
        <f>Annual!C146</f>
        <v/>
      </c>
    </row>
    <row r="20">
      <c r="A20" t="inlineStr">
        <is>
          <t>IRR (5 yrs + residual)</t>
        </is>
      </c>
      <c r="C20" s="6">
        <f>Annual!C45</f>
        <v/>
      </c>
      <c r="D20" s="6">
        <f>Annual!C96</f>
        <v/>
      </c>
      <c r="E20" s="6">
        <f>Annual!C147</f>
        <v/>
      </c>
    </row>
    <row r="21">
      <c r="A21" t="inlineStr">
        <is>
          <t>ROIC Year 3</t>
        </is>
      </c>
      <c r="C21" s="6">
        <f>Annual!C47</f>
        <v/>
      </c>
      <c r="D21" s="6">
        <f>Annual!C98</f>
        <v/>
      </c>
      <c r="E21" s="6">
        <f>Annual!C149</f>
        <v/>
      </c>
    </row>
    <row r="24">
      <c r="A24" t="inlineStr">
        <is>
          <t>Colour legend: blue = input · black = formula · cream fill = editable assumption.</t>
        </is>
      </c>
    </row>
    <row r="25">
      <c r="A25" t="inlineStr">
        <is>
          <t>Prepared 2026-10 as part of the investor package. Not investment advice; validate inputs with fieldwork before committing capital.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6" customWidth="1" min="2" max="2"/>
    <col width="16" customWidth="1" min="3" max="3"/>
    <col width="15" customWidth="1" min="4" max="4"/>
    <col width="15" customWidth="1" min="5" max="5"/>
    <col width="15" customWidth="1" min="6" max="6"/>
    <col width="13" customWidth="1" min="7" max="7"/>
    <col width="90" customWidth="1" min="8" max="8"/>
  </cols>
  <sheetData>
    <row r="1">
      <c r="A1" s="8" t="inlineStr">
        <is>
          <t>CHAMPA — model inputs</t>
        </is>
      </c>
    </row>
    <row r="2">
      <c r="A2" t="inlineStr">
        <is>
          <t>Blue cells are inputs. Status: VERIFIED (primary source) · REPORTED (secondary) · ESTIMATE (derived) · ASSUMPTION (judgement). See research/ for evidence files.</t>
        </is>
      </c>
    </row>
    <row r="4">
      <c r="A4" s="2" t="inlineStr">
        <is>
          <t>Key</t>
        </is>
      </c>
      <c r="B4" s="2" t="inlineStr">
        <is>
          <t>Input</t>
        </is>
      </c>
      <c r="C4" s="2" t="inlineStr">
        <is>
          <t>Unit</t>
        </is>
      </c>
      <c r="D4" s="2" t="inlineStr">
        <is>
          <t>Conservative</t>
        </is>
      </c>
      <c r="E4" s="2" t="inlineStr">
        <is>
          <t>Base</t>
        </is>
      </c>
      <c r="F4" s="2" t="inlineStr">
        <is>
          <t>Optimistic</t>
        </is>
      </c>
      <c r="G4" s="2" t="inlineStr">
        <is>
          <t>Status</t>
        </is>
      </c>
      <c r="H4" s="2" t="inlineStr">
        <is>
          <t>Source / basis</t>
        </is>
      </c>
    </row>
    <row r="6">
      <c r="A6" s="9" t="inlineStr">
        <is>
          <t>General</t>
        </is>
      </c>
      <c r="B6" s="10" t="n"/>
      <c r="C6" s="10" t="n"/>
      <c r="D6" s="10" t="n"/>
      <c r="E6" s="10" t="n"/>
      <c r="F6" s="10" t="n"/>
      <c r="G6" s="10" t="n"/>
      <c r="H6" s="10" t="n"/>
    </row>
    <row r="7">
      <c r="A7" t="inlineStr">
        <is>
          <t>fx_amd_per_usd</t>
        </is>
      </c>
      <c r="B7" t="inlineStr">
        <is>
          <t>Exchange rate</t>
        </is>
      </c>
      <c r="C7" t="inlineStr">
        <is>
          <t>AMD/USD</t>
        </is>
      </c>
      <c r="D7" s="11" t="n">
        <v>385</v>
      </c>
      <c r="E7" s="11" t="n">
        <v>385</v>
      </c>
      <c r="F7" s="11" t="n">
        <v>385</v>
      </c>
      <c r="G7" t="inlineStr">
        <is>
          <t>ASSUMPTION</t>
        </is>
      </c>
      <c r="H7" t="inlineStr">
        <is>
          <t>PLACEHOLDER — replace with CBA rate</t>
        </is>
      </c>
    </row>
    <row r="8">
      <c r="A8" t="inlineStr">
        <is>
          <t>opening_month</t>
        </is>
      </c>
      <c r="B8" t="inlineStr">
        <is>
          <t>Opening calendar month</t>
        </is>
      </c>
      <c r="C8" t="inlineStr">
        <is>
          <t>month</t>
        </is>
      </c>
      <c r="D8" s="12" t="n">
        <v>5</v>
      </c>
      <c r="E8" s="12" t="n">
        <v>5</v>
      </c>
      <c r="F8" s="12" t="n">
        <v>5</v>
      </c>
      <c r="G8" t="inlineStr">
        <is>
          <t>ASSUMPTION</t>
        </is>
      </c>
      <c r="H8" t="inlineStr">
        <is>
          <t>Open in May to catch first summer season</t>
        </is>
      </c>
    </row>
    <row r="9">
      <c r="A9" t="inlineStr">
        <is>
          <t>open_days_per_year</t>
        </is>
      </c>
      <c r="B9" t="inlineStr">
        <is>
          <t>Trading days per year</t>
        </is>
      </c>
      <c r="C9" t="inlineStr">
        <is>
          <t>days</t>
        </is>
      </c>
      <c r="D9" s="12" t="n">
        <v>360</v>
      </c>
      <c r="E9" s="12" t="n">
        <v>360</v>
      </c>
      <c r="F9" s="12" t="n">
        <v>360</v>
      </c>
      <c r="G9" t="inlineStr">
        <is>
          <t>ASSUMPTION</t>
        </is>
      </c>
      <c r="H9" t="inlineStr">
        <is>
          <t>Closed ~5 days (New Year 1 Jan, Christmas 6 Jan, severe weather)</t>
        </is>
      </c>
    </row>
    <row r="10">
      <c r="A10" t="inlineStr">
        <is>
          <t>vat_rate</t>
        </is>
      </c>
      <c r="B10" t="inlineStr">
        <is>
          <t>VAT</t>
        </is>
      </c>
      <c r="C10" t="inlineStr"/>
      <c r="D10" s="13" t="n">
        <v>0.2</v>
      </c>
      <c r="E10" s="13" t="n">
        <v>0.2</v>
      </c>
      <c r="F10" s="13" t="n">
        <v>0.2</v>
      </c>
      <c r="G10" t="inlineStr">
        <is>
          <t>VERIFIED</t>
        </is>
      </c>
      <c r="H10" t="inlineStr">
        <is>
          <t>RA Tax Code art. 63</t>
        </is>
      </c>
    </row>
    <row r="11">
      <c r="A11" t="inlineStr">
        <is>
          <t>profit_tax_rate</t>
        </is>
      </c>
      <c r="B11" t="inlineStr">
        <is>
          <t>Profit tax</t>
        </is>
      </c>
      <c r="C11" t="inlineStr"/>
      <c r="D11" s="13" t="n">
        <v>0.18</v>
      </c>
      <c r="E11" s="13" t="n">
        <v>0.18</v>
      </c>
      <c r="F11" s="13" t="n">
        <v>0.18</v>
      </c>
      <c r="G11" t="inlineStr">
        <is>
          <t>VERIFIED</t>
        </is>
      </c>
      <c r="H11" t="inlineStr">
        <is>
          <t>RA Tax Code art. 115</t>
        </is>
      </c>
    </row>
    <row r="12">
      <c r="A12" t="inlineStr">
        <is>
          <t>discount_rate</t>
        </is>
      </c>
      <c r="B12" t="inlineStr">
        <is>
          <t>Discount rate (AMD)</t>
        </is>
      </c>
      <c r="C12" t="inlineStr"/>
      <c r="D12" s="13" t="n">
        <v>0.18</v>
      </c>
      <c r="E12" s="13" t="n">
        <v>0.18</v>
      </c>
      <c r="F12" s="13" t="n">
        <v>0.18</v>
      </c>
      <c r="G12" t="inlineStr">
        <is>
          <t>ASSUMPTION</t>
        </is>
      </c>
      <c r="H12" t="inlineStr">
        <is>
          <t>AMD equity hurdle: CBA policy rate ~6.75% + SME/country/start-up premium</t>
        </is>
      </c>
    </row>
    <row r="13">
      <c r="A13" t="inlineStr">
        <is>
          <t>tax_regime_tt</t>
        </is>
      </c>
      <c r="B13" t="inlineStr">
        <is>
          <t>Catering turnover-tax regime? (1 = TT, 0 = VAT + profit tax)</t>
        </is>
      </c>
      <c r="C13" t="inlineStr">
        <is>
          <t>flag</t>
        </is>
      </c>
      <c r="D13" s="12" t="n">
        <v>1</v>
      </c>
      <c r="E13" s="12" t="n">
        <v>1</v>
      </c>
      <c r="F13" s="12" t="n">
        <v>1</v>
      </c>
      <c r="G13" t="inlineStr">
        <is>
          <t>VERIFIED</t>
        </is>
      </c>
      <c r="H13" t="inlineStr">
        <is>
          <t>C4 §1 #1/#4 — Tax Code Art. 254(6)-(7), 258: catering turnover tax, no revenue cap; replaces VAT and profit tax</t>
        </is>
      </c>
    </row>
    <row r="14">
      <c r="A14" t="inlineStr">
        <is>
          <t>tt_rate</t>
        </is>
      </c>
      <c r="B14" t="inlineStr">
        <is>
          <t>Catering turnover tax rate</t>
        </is>
      </c>
      <c r="C14" t="inlineStr">
        <is>
          <t>of receipts</t>
        </is>
      </c>
      <c r="D14" s="13" t="n">
        <v>0.12</v>
      </c>
      <c r="E14" s="13" t="n">
        <v>0.12</v>
      </c>
      <c r="F14" s="13" t="n">
        <v>0.12</v>
      </c>
      <c r="G14" t="inlineStr">
        <is>
          <t>VERIFIED</t>
        </is>
      </c>
      <c r="H14" t="inlineStr">
        <is>
          <t>C4 §1 #1 — Art. 258 (2026, outside Yerevan from 1 Jan 2026)</t>
        </is>
      </c>
    </row>
    <row r="15">
      <c r="A15" t="inlineStr">
        <is>
          <t>tt_deduction_rate</t>
        </is>
      </c>
      <c r="B15" t="inlineStr">
        <is>
          <t>TT deduction rate</t>
        </is>
      </c>
      <c r="C15" t="inlineStr">
        <is>
          <t>of documented opex</t>
        </is>
      </c>
      <c r="D15" s="13" t="n">
        <v>0.09</v>
      </c>
      <c r="E15" s="13" t="n">
        <v>0.09</v>
      </c>
      <c r="F15" s="13" t="n">
        <v>0.09</v>
      </c>
      <c r="G15" t="inlineStr">
        <is>
          <t>VERIFIED</t>
        </is>
      </c>
      <c r="H15" t="inlineStr">
        <is>
          <t>C4 §1 #1 — Art. 258; capex, depreciation, repairs excluded</t>
        </is>
      </c>
    </row>
    <row r="16">
      <c r="A16" t="inlineStr">
        <is>
          <t>tt_min_rate</t>
        </is>
      </c>
      <c r="B16" t="inlineStr">
        <is>
          <t>TT minimum rate</t>
        </is>
      </c>
      <c r="C16" t="inlineStr">
        <is>
          <t>of receipts</t>
        </is>
      </c>
      <c r="D16" s="13" t="n">
        <v>0.035</v>
      </c>
      <c r="E16" s="13" t="n">
        <v>0.035</v>
      </c>
      <c r="F16" s="13" t="n">
        <v>0.035</v>
      </c>
      <c r="G16" t="inlineStr">
        <is>
          <t>VERIFIED</t>
        </is>
      </c>
      <c r="H16" t="inlineStr">
        <is>
          <t>C4 §1 #1 — Art. 258 floor</t>
        </is>
      </c>
    </row>
    <row r="17">
      <c r="A17" t="inlineStr">
        <is>
          <t>concept_index</t>
        </is>
      </c>
      <c r="B17" t="inlineStr">
        <is>
          <t>Concept modelled (1 = Lean, 2 = Mid-range, 3 = Flagship)</t>
        </is>
      </c>
      <c r="C17" t="inlineStr">
        <is>
          <t>index</t>
        </is>
      </c>
      <c r="D17" s="12" t="n">
        <v>2</v>
      </c>
      <c r="E17" s="12" t="n">
        <v>2</v>
      </c>
      <c r="F17" s="12" t="n">
        <v>2</v>
      </c>
      <c r="G17" t="inlineStr">
        <is>
          <t>ASSUMPTION</t>
        </is>
      </c>
      <c r="H17" t="inlineStr">
        <is>
          <t>Recommended: Mid-range</t>
        </is>
      </c>
    </row>
    <row r="18">
      <c r="A18" t="inlineStr">
        <is>
          <t>land_mode_lease</t>
        </is>
      </c>
      <c r="B18" t="inlineStr">
        <is>
          <t>Land via ground lease? (1 = lease, 0 = buy)</t>
        </is>
      </c>
      <c r="C18" t="inlineStr">
        <is>
          <t>flag</t>
        </is>
      </c>
      <c r="D18" s="12" t="n">
        <v>1</v>
      </c>
      <c r="E18" s="12" t="n">
        <v>1</v>
      </c>
      <c r="F18" s="12" t="n">
        <v>1</v>
      </c>
      <c r="G18" t="inlineStr">
        <is>
          <t>ASSUMPTION</t>
        </is>
      </c>
      <c r="H18" t="inlineStr">
        <is>
          <t>Ground lease preferred for capital efficiency</t>
        </is>
      </c>
    </row>
    <row r="20">
      <c r="A20" s="9" t="inlineStr">
        <is>
          <t>Demand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>
      <c r="A21" t="inlineStr">
        <is>
          <t>traffic_aadt</t>
        </is>
      </c>
      <c r="B21" t="inlineStr">
        <is>
          <t>Passing traffic (AADT, two-way)</t>
        </is>
      </c>
      <c r="C21" t="inlineStr">
        <is>
          <t>veh/day two-way</t>
        </is>
      </c>
      <c r="D21" s="14" t="n">
        <v>12000</v>
      </c>
      <c r="E21" s="14" t="n">
        <v>16000</v>
      </c>
      <c r="F21" s="14" t="n">
        <v>20000</v>
      </c>
      <c r="G21" t="inlineStr">
        <is>
          <t>ASSUMPTION</t>
        </is>
      </c>
      <c r="H21" t="inlineStr">
        <is>
          <t>PLACEHOLDER</t>
        </is>
      </c>
    </row>
    <row r="22">
      <c r="A22" t="inlineStr">
        <is>
          <t>traffic_growth</t>
        </is>
      </c>
      <c r="B22" t="inlineStr">
        <is>
          <t>Traffic growth</t>
        </is>
      </c>
      <c r="C22" t="inlineStr">
        <is>
          <t>/yr</t>
        </is>
      </c>
      <c r="D22" s="13" t="n">
        <v>0.01</v>
      </c>
      <c r="E22" s="13" t="n">
        <v>0.025</v>
      </c>
      <c r="F22" s="13" t="n">
        <v>0.04</v>
      </c>
      <c r="G22" t="inlineStr">
        <is>
          <t>ASSUMPTION</t>
        </is>
      </c>
      <c r="H22" t="inlineStr">
        <is>
          <t>Motorisation trend</t>
        </is>
      </c>
    </row>
    <row r="23">
      <c r="A23" t="inlineStr">
        <is>
          <t>accessible_share</t>
        </is>
      </c>
      <c r="B23" t="inlineStr">
        <is>
          <t>Share of traffic that can access</t>
        </is>
      </c>
      <c r="C23" t="inlineStr"/>
      <c r="D23" s="13" t="n">
        <v>0.5</v>
      </c>
      <c r="E23" s="13" t="n">
        <v>0.55</v>
      </c>
      <c r="F23" s="13" t="n">
        <v>0.6</v>
      </c>
      <c r="G23" t="inlineStr">
        <is>
          <t>ASSUMPTION</t>
        </is>
      </c>
      <c r="H23" t="inlineStr">
        <is>
          <t>Right-in/right-out from one carriageway + some U-turn capture</t>
        </is>
      </c>
    </row>
    <row r="24">
      <c r="A24" t="inlineStr">
        <is>
          <t>capture_rate</t>
        </is>
      </c>
      <c r="B24" t="inlineStr">
        <is>
          <t>Capture rate of accessible vehicles (Y1 steady state)</t>
        </is>
      </c>
      <c r="C24" t="inlineStr"/>
      <c r="D24" s="13" t="n">
        <v>0.012</v>
      </c>
      <c r="E24" s="13" t="n">
        <v>0.018</v>
      </c>
      <c r="F24" s="13" t="n">
        <v>0.025</v>
      </c>
      <c r="G24" t="inlineStr">
        <is>
          <t>ASSUMPTION</t>
        </is>
      </c>
      <c r="H24" t="inlineStr">
        <is>
          <t>PLACEHOLDER</t>
        </is>
      </c>
    </row>
    <row r="25">
      <c r="A25" t="inlineStr">
        <is>
          <t>capture_growth</t>
        </is>
      </c>
      <c r="B25" t="inlineStr">
        <is>
          <t>Capture growth</t>
        </is>
      </c>
      <c r="C25" t="inlineStr">
        <is>
          <t>/yr</t>
        </is>
      </c>
      <c r="D25" s="13" t="n">
        <v>0.03</v>
      </c>
      <c r="E25" s="13" t="n">
        <v>0.06</v>
      </c>
      <c r="F25" s="13" t="n">
        <v>0.1</v>
      </c>
      <c r="G25" t="inlineStr">
        <is>
          <t>ASSUMPTION</t>
        </is>
      </c>
      <c r="H25" t="inlineStr">
        <is>
          <t>Brand awareness build Y2-Y5</t>
        </is>
      </c>
    </row>
    <row r="26">
      <c r="A26" t="inlineStr">
        <is>
          <t>avg_ticket_amd</t>
        </is>
      </c>
      <c r="B26" t="inlineStr">
        <is>
          <t>Average transaction value (per order)</t>
        </is>
      </c>
      <c r="C26" t="inlineStr">
        <is>
          <t>AMD incl. VAT</t>
        </is>
      </c>
      <c r="D26" s="14" t="n">
        <v>2200</v>
      </c>
      <c r="E26" s="14" t="n">
        <v>2600</v>
      </c>
      <c r="F26" s="14" t="n">
        <v>3000</v>
      </c>
      <c r="G26" t="inlineStr">
        <is>
          <t>ASSUMPTION</t>
        </is>
      </c>
      <c r="H26" t="inlineStr">
        <is>
          <t>PLACEHOLDER</t>
        </is>
      </c>
    </row>
    <row r="27">
      <c r="A27" t="inlineStr">
        <is>
          <t>other_transactions_day</t>
        </is>
      </c>
      <c r="B27" t="inlineStr">
        <is>
          <t>Non-highway transactions/day</t>
        </is>
      </c>
      <c r="C27" t="inlineStr">
        <is>
          <t>tx/day</t>
        </is>
      </c>
      <c r="D27" s="14" t="n">
        <v>10</v>
      </c>
      <c r="E27" s="14" t="n">
        <v>20</v>
      </c>
      <c r="F27" s="14" t="n">
        <v>30</v>
      </c>
      <c r="G27" t="inlineStr">
        <is>
          <t>ASSUMPTION</t>
        </is>
      </c>
      <c r="H27" t="inlineStr">
        <is>
          <t>Walk-in locals, staff of nearby businesses, pre-orders</t>
        </is>
      </c>
    </row>
    <row r="28">
      <c r="A28" t="inlineStr">
        <is>
          <t>price_inflation</t>
        </is>
      </c>
      <c r="B28" t="inlineStr">
        <is>
          <t>Menu price growth</t>
        </is>
      </c>
      <c r="C28" t="inlineStr">
        <is>
          <t>/yr</t>
        </is>
      </c>
      <c r="D28" s="13" t="n">
        <v>0.03</v>
      </c>
      <c r="E28" s="13" t="n">
        <v>0.035</v>
      </c>
      <c r="F28" s="13" t="n">
        <v>0.04</v>
      </c>
      <c r="G28" t="inlineStr">
        <is>
          <t>ASSUMPTION</t>
        </is>
      </c>
      <c r="H28" t="inlineStr">
        <is>
          <t>CBA inflation target 4% ±1.5</t>
        </is>
      </c>
    </row>
    <row r="30">
      <c r="A30" s="9" t="inlineStr">
        <is>
          <t>Seasonality index (traffic, mean = 1.00)</t>
        </is>
      </c>
      <c r="B30" s="10" t="n"/>
      <c r="C30" s="10" t="n"/>
      <c r="D30" s="10" t="n"/>
      <c r="E30" s="10" t="n"/>
      <c r="F30" s="10" t="n"/>
      <c r="G30" s="10" t="n"/>
      <c r="H30" s="10" t="n"/>
    </row>
    <row r="31">
      <c r="A31" t="inlineStr">
        <is>
          <t>season_1</t>
        </is>
      </c>
      <c r="B31" t="inlineStr">
        <is>
          <t>Seasonality — Jan</t>
        </is>
      </c>
      <c r="C31" t="inlineStr">
        <is>
          <t>index</t>
        </is>
      </c>
      <c r="D31" s="15" t="n">
        <v>0.66</v>
      </c>
      <c r="E31" s="15" t="n">
        <v>0.66</v>
      </c>
      <c r="F31" s="15" t="n">
        <v>0.66</v>
      </c>
      <c r="G31" t="inlineStr">
        <is>
          <t>ESTIMATE</t>
        </is>
      </c>
      <c r="H31" t="inlineStr">
        <is>
          <t>PLACEHOLDER</t>
        </is>
      </c>
    </row>
    <row r="32">
      <c r="A32" t="inlineStr">
        <is>
          <t>season_2</t>
        </is>
      </c>
      <c r="B32" t="inlineStr">
        <is>
          <t>Seasonality — Feb</t>
        </is>
      </c>
      <c r="C32" t="inlineStr">
        <is>
          <t>index</t>
        </is>
      </c>
      <c r="D32" s="15" t="n">
        <v>0.68</v>
      </c>
      <c r="E32" s="15" t="n">
        <v>0.68</v>
      </c>
      <c r="F32" s="15" t="n">
        <v>0.68</v>
      </c>
      <c r="G32" t="inlineStr">
        <is>
          <t>ESTIMATE</t>
        </is>
      </c>
      <c r="H32" t="inlineStr"/>
    </row>
    <row r="33">
      <c r="A33" t="inlineStr">
        <is>
          <t>season_3</t>
        </is>
      </c>
      <c r="B33" t="inlineStr">
        <is>
          <t>Seasonality — Mar</t>
        </is>
      </c>
      <c r="C33" t="inlineStr">
        <is>
          <t>index</t>
        </is>
      </c>
      <c r="D33" s="15" t="n">
        <v>0.8</v>
      </c>
      <c r="E33" s="15" t="n">
        <v>0.8</v>
      </c>
      <c r="F33" s="15" t="n">
        <v>0.8</v>
      </c>
      <c r="G33" t="inlineStr">
        <is>
          <t>ESTIMATE</t>
        </is>
      </c>
      <c r="H33" t="inlineStr"/>
    </row>
    <row r="34">
      <c r="A34" t="inlineStr">
        <is>
          <t>season_4</t>
        </is>
      </c>
      <c r="B34" t="inlineStr">
        <is>
          <t>Seasonality — Apr</t>
        </is>
      </c>
      <c r="C34" t="inlineStr">
        <is>
          <t>index</t>
        </is>
      </c>
      <c r="D34" s="15" t="n">
        <v>0.92</v>
      </c>
      <c r="E34" s="15" t="n">
        <v>0.92</v>
      </c>
      <c r="F34" s="15" t="n">
        <v>0.92</v>
      </c>
      <c r="G34" t="inlineStr">
        <is>
          <t>ESTIMATE</t>
        </is>
      </c>
      <c r="H34" t="inlineStr"/>
    </row>
    <row r="35">
      <c r="A35" t="inlineStr">
        <is>
          <t>season_5</t>
        </is>
      </c>
      <c r="B35" t="inlineStr">
        <is>
          <t>Seasonality — May</t>
        </is>
      </c>
      <c r="C35" t="inlineStr">
        <is>
          <t>index</t>
        </is>
      </c>
      <c r="D35" s="15" t="n">
        <v>1.02</v>
      </c>
      <c r="E35" s="15" t="n">
        <v>1.02</v>
      </c>
      <c r="F35" s="15" t="n">
        <v>1.02</v>
      </c>
      <c r="G35" t="inlineStr">
        <is>
          <t>ESTIMATE</t>
        </is>
      </c>
      <c r="H35" t="inlineStr"/>
    </row>
    <row r="36">
      <c r="A36" t="inlineStr">
        <is>
          <t>season_6</t>
        </is>
      </c>
      <c r="B36" t="inlineStr">
        <is>
          <t>Seasonality — Jun</t>
        </is>
      </c>
      <c r="C36" t="inlineStr">
        <is>
          <t>index</t>
        </is>
      </c>
      <c r="D36" s="15" t="n">
        <v>1.2</v>
      </c>
      <c r="E36" s="15" t="n">
        <v>1.2</v>
      </c>
      <c r="F36" s="15" t="n">
        <v>1.2</v>
      </c>
      <c r="G36" t="inlineStr">
        <is>
          <t>ESTIMATE</t>
        </is>
      </c>
      <c r="H36" t="inlineStr"/>
    </row>
    <row r="37">
      <c r="A37" t="inlineStr">
        <is>
          <t>season_7</t>
        </is>
      </c>
      <c r="B37" t="inlineStr">
        <is>
          <t>Seasonality — Jul</t>
        </is>
      </c>
      <c r="C37" t="inlineStr">
        <is>
          <t>index</t>
        </is>
      </c>
      <c r="D37" s="15" t="n">
        <v>1.42</v>
      </c>
      <c r="E37" s="15" t="n">
        <v>1.42</v>
      </c>
      <c r="F37" s="15" t="n">
        <v>1.42</v>
      </c>
      <c r="G37" t="inlineStr">
        <is>
          <t>ESTIMATE</t>
        </is>
      </c>
      <c r="H37" t="inlineStr"/>
    </row>
    <row r="38">
      <c r="A38" t="inlineStr">
        <is>
          <t>season_8</t>
        </is>
      </c>
      <c r="B38" t="inlineStr">
        <is>
          <t>Seasonality — Aug</t>
        </is>
      </c>
      <c r="C38" t="inlineStr">
        <is>
          <t>index</t>
        </is>
      </c>
      <c r="D38" s="15" t="n">
        <v>1.46</v>
      </c>
      <c r="E38" s="15" t="n">
        <v>1.46</v>
      </c>
      <c r="F38" s="15" t="n">
        <v>1.46</v>
      </c>
      <c r="G38" t="inlineStr">
        <is>
          <t>ESTIMATE</t>
        </is>
      </c>
      <c r="H38" t="inlineStr"/>
    </row>
    <row r="39">
      <c r="A39" t="inlineStr">
        <is>
          <t>season_9</t>
        </is>
      </c>
      <c r="B39" t="inlineStr">
        <is>
          <t>Seasonality — Sep</t>
        </is>
      </c>
      <c r="C39" t="inlineStr">
        <is>
          <t>index</t>
        </is>
      </c>
      <c r="D39" s="15" t="n">
        <v>1.14</v>
      </c>
      <c r="E39" s="15" t="n">
        <v>1.14</v>
      </c>
      <c r="F39" s="15" t="n">
        <v>1.14</v>
      </c>
      <c r="G39" t="inlineStr">
        <is>
          <t>ESTIMATE</t>
        </is>
      </c>
      <c r="H39" t="inlineStr"/>
    </row>
    <row r="40">
      <c r="A40" t="inlineStr">
        <is>
          <t>season_10</t>
        </is>
      </c>
      <c r="B40" t="inlineStr">
        <is>
          <t>Seasonality — Oct</t>
        </is>
      </c>
      <c r="C40" t="inlineStr">
        <is>
          <t>index</t>
        </is>
      </c>
      <c r="D40" s="15" t="n">
        <v>0.96</v>
      </c>
      <c r="E40" s="15" t="n">
        <v>0.96</v>
      </c>
      <c r="F40" s="15" t="n">
        <v>0.96</v>
      </c>
      <c r="G40" t="inlineStr">
        <is>
          <t>ESTIMATE</t>
        </is>
      </c>
      <c r="H40" t="inlineStr"/>
    </row>
    <row r="41">
      <c r="A41" t="inlineStr">
        <is>
          <t>season_11</t>
        </is>
      </c>
      <c r="B41" t="inlineStr">
        <is>
          <t>Seasonality — Nov</t>
        </is>
      </c>
      <c r="C41" t="inlineStr">
        <is>
          <t>index</t>
        </is>
      </c>
      <c r="D41" s="15" t="n">
        <v>0.82</v>
      </c>
      <c r="E41" s="15" t="n">
        <v>0.82</v>
      </c>
      <c r="F41" s="15" t="n">
        <v>0.82</v>
      </c>
      <c r="G41" t="inlineStr">
        <is>
          <t>ESTIMATE</t>
        </is>
      </c>
      <c r="H41" t="inlineStr"/>
    </row>
    <row r="42">
      <c r="A42" t="inlineStr">
        <is>
          <t>season_12</t>
        </is>
      </c>
      <c r="B42" t="inlineStr">
        <is>
          <t>Seasonality — Dec</t>
        </is>
      </c>
      <c r="C42" t="inlineStr">
        <is>
          <t>index</t>
        </is>
      </c>
      <c r="D42" s="15" t="n">
        <v>0.92</v>
      </c>
      <c r="E42" s="15" t="n">
        <v>0.92</v>
      </c>
      <c r="F42" s="15" t="n">
        <v>0.92</v>
      </c>
      <c r="G42" t="inlineStr">
        <is>
          <t>ESTIMATE</t>
        </is>
      </c>
      <c r="H42" t="inlineStr"/>
    </row>
    <row r="44">
      <c r="A44" s="9" t="inlineStr">
        <is>
          <t>Opening ramp (capture multiplier by month since opening)</t>
        </is>
      </c>
      <c r="B44" s="10" t="n"/>
      <c r="C44" s="10" t="n"/>
      <c r="D44" s="10" t="n"/>
      <c r="E44" s="10" t="n"/>
      <c r="F44" s="10" t="n"/>
      <c r="G44" s="10" t="n"/>
      <c r="H44" s="10" t="n"/>
    </row>
    <row r="45">
      <c r="A45" t="inlineStr">
        <is>
          <t>ramp_1</t>
        </is>
      </c>
      <c r="B45" t="inlineStr">
        <is>
          <t>Ramp — month 1</t>
        </is>
      </c>
      <c r="C45" t="inlineStr">
        <is>
          <t>x</t>
        </is>
      </c>
      <c r="D45" s="15" t="n">
        <v>0.45</v>
      </c>
      <c r="E45" s="15" t="n">
        <v>0.55</v>
      </c>
      <c r="F45" s="15" t="n">
        <v>0.65</v>
      </c>
      <c r="G45" t="inlineStr">
        <is>
          <t>ASSUMPTION</t>
        </is>
      </c>
      <c r="H45" t="inlineStr">
        <is>
          <t>Typical new-unit ramp</t>
        </is>
      </c>
    </row>
    <row r="46">
      <c r="A46" t="inlineStr">
        <is>
          <t>ramp_2</t>
        </is>
      </c>
      <c r="B46" t="inlineStr">
        <is>
          <t>Ramp — month 2</t>
        </is>
      </c>
      <c r="C46" t="inlineStr">
        <is>
          <t>x</t>
        </is>
      </c>
      <c r="D46" s="15" t="n">
        <v>0.55</v>
      </c>
      <c r="E46" s="15" t="n">
        <v>0.65</v>
      </c>
      <c r="F46" s="15" t="n">
        <v>0.75</v>
      </c>
      <c r="G46" t="inlineStr">
        <is>
          <t>ASSUMPTION</t>
        </is>
      </c>
      <c r="H46" t="inlineStr"/>
    </row>
    <row r="47">
      <c r="A47" t="inlineStr">
        <is>
          <t>ramp_3</t>
        </is>
      </c>
      <c r="B47" t="inlineStr">
        <is>
          <t>Ramp — month 3</t>
        </is>
      </c>
      <c r="C47" t="inlineStr">
        <is>
          <t>x</t>
        </is>
      </c>
      <c r="D47" s="15" t="n">
        <v>0.65</v>
      </c>
      <c r="E47" s="15" t="n">
        <v>0.74</v>
      </c>
      <c r="F47" s="15" t="n">
        <v>0.83</v>
      </c>
      <c r="G47" t="inlineStr">
        <is>
          <t>ASSUMPTION</t>
        </is>
      </c>
      <c r="H47" t="inlineStr"/>
    </row>
    <row r="48">
      <c r="A48" t="inlineStr">
        <is>
          <t>ramp_4</t>
        </is>
      </c>
      <c r="B48" t="inlineStr">
        <is>
          <t>Ramp — month 4</t>
        </is>
      </c>
      <c r="C48" t="inlineStr">
        <is>
          <t>x</t>
        </is>
      </c>
      <c r="D48" s="15" t="n">
        <v>0.72</v>
      </c>
      <c r="E48" s="15" t="n">
        <v>0.8100000000000001</v>
      </c>
      <c r="F48" s="15" t="n">
        <v>0.89</v>
      </c>
      <c r="G48" t="inlineStr">
        <is>
          <t>ASSUMPTION</t>
        </is>
      </c>
      <c r="H48" t="inlineStr"/>
    </row>
    <row r="49">
      <c r="A49" t="inlineStr">
        <is>
          <t>ramp_5</t>
        </is>
      </c>
      <c r="B49" t="inlineStr">
        <is>
          <t>Ramp — month 5</t>
        </is>
      </c>
      <c r="C49" t="inlineStr">
        <is>
          <t>x</t>
        </is>
      </c>
      <c r="D49" s="15" t="n">
        <v>0.78</v>
      </c>
      <c r="E49" s="15" t="n">
        <v>0.86</v>
      </c>
      <c r="F49" s="15" t="n">
        <v>0.93</v>
      </c>
      <c r="G49" t="inlineStr">
        <is>
          <t>ASSUMPTION</t>
        </is>
      </c>
      <c r="H49" t="inlineStr"/>
    </row>
    <row r="50">
      <c r="A50" t="inlineStr">
        <is>
          <t>ramp_6</t>
        </is>
      </c>
      <c r="B50" t="inlineStr">
        <is>
          <t>Ramp — month 6</t>
        </is>
      </c>
      <c r="C50" t="inlineStr">
        <is>
          <t>x</t>
        </is>
      </c>
      <c r="D50" s="15" t="n">
        <v>0.83</v>
      </c>
      <c r="E50" s="15" t="n">
        <v>0.9</v>
      </c>
      <c r="F50" s="15" t="n">
        <v>0.96</v>
      </c>
      <c r="G50" t="inlineStr">
        <is>
          <t>ASSUMPTION</t>
        </is>
      </c>
      <c r="H50" t="inlineStr"/>
    </row>
    <row r="51">
      <c r="A51" t="inlineStr">
        <is>
          <t>ramp_7</t>
        </is>
      </c>
      <c r="B51" t="inlineStr">
        <is>
          <t>Ramp — month 7</t>
        </is>
      </c>
      <c r="C51" t="inlineStr">
        <is>
          <t>x</t>
        </is>
      </c>
      <c r="D51" s="15" t="n">
        <v>0.87</v>
      </c>
      <c r="E51" s="15" t="n">
        <v>0.93</v>
      </c>
      <c r="F51" s="15" t="n">
        <v>0.98</v>
      </c>
      <c r="G51" t="inlineStr">
        <is>
          <t>ASSUMPTION</t>
        </is>
      </c>
      <c r="H51" t="inlineStr"/>
    </row>
    <row r="52">
      <c r="A52" t="inlineStr">
        <is>
          <t>ramp_8</t>
        </is>
      </c>
      <c r="B52" t="inlineStr">
        <is>
          <t>Ramp — month 8</t>
        </is>
      </c>
      <c r="C52" t="inlineStr">
        <is>
          <t>x</t>
        </is>
      </c>
      <c r="D52" s="15" t="n">
        <v>0.9</v>
      </c>
      <c r="E52" s="15" t="n">
        <v>0.95</v>
      </c>
      <c r="F52" s="15" t="n">
        <v>1</v>
      </c>
      <c r="G52" t="inlineStr">
        <is>
          <t>ASSUMPTION</t>
        </is>
      </c>
      <c r="H52" t="inlineStr"/>
    </row>
    <row r="53">
      <c r="A53" t="inlineStr">
        <is>
          <t>ramp_9</t>
        </is>
      </c>
      <c r="B53" t="inlineStr">
        <is>
          <t>Ramp — month 9</t>
        </is>
      </c>
      <c r="C53" t="inlineStr">
        <is>
          <t>x</t>
        </is>
      </c>
      <c r="D53" s="15" t="n">
        <v>0.93</v>
      </c>
      <c r="E53" s="15" t="n">
        <v>0.97</v>
      </c>
      <c r="F53" s="15" t="n">
        <v>1</v>
      </c>
      <c r="G53" t="inlineStr">
        <is>
          <t>ASSUMPTION</t>
        </is>
      </c>
      <c r="H53" t="inlineStr"/>
    </row>
    <row r="54">
      <c r="A54" t="inlineStr">
        <is>
          <t>ramp_10</t>
        </is>
      </c>
      <c r="B54" t="inlineStr">
        <is>
          <t>Ramp — month 10</t>
        </is>
      </c>
      <c r="C54" t="inlineStr">
        <is>
          <t>x</t>
        </is>
      </c>
      <c r="D54" s="15" t="n">
        <v>0.95</v>
      </c>
      <c r="E54" s="15" t="n">
        <v>0.98</v>
      </c>
      <c r="F54" s="15" t="n">
        <v>1</v>
      </c>
      <c r="G54" t="inlineStr">
        <is>
          <t>ASSUMPTION</t>
        </is>
      </c>
      <c r="H54" t="inlineStr"/>
    </row>
    <row r="55">
      <c r="A55" t="inlineStr">
        <is>
          <t>ramp_11</t>
        </is>
      </c>
      <c r="B55" t="inlineStr">
        <is>
          <t>Ramp — month 11</t>
        </is>
      </c>
      <c r="C55" t="inlineStr">
        <is>
          <t>x</t>
        </is>
      </c>
      <c r="D55" s="15" t="n">
        <v>0.97</v>
      </c>
      <c r="E55" s="15" t="n">
        <v>0.99</v>
      </c>
      <c r="F55" s="15" t="n">
        <v>1</v>
      </c>
      <c r="G55" t="inlineStr">
        <is>
          <t>ASSUMPTION</t>
        </is>
      </c>
      <c r="H55" t="inlineStr"/>
    </row>
    <row r="56">
      <c r="A56" t="inlineStr">
        <is>
          <t>ramp_12</t>
        </is>
      </c>
      <c r="B56" t="inlineStr">
        <is>
          <t>Ramp — month 12</t>
        </is>
      </c>
      <c r="C56" t="inlineStr">
        <is>
          <t>x</t>
        </is>
      </c>
      <c r="D56" s="15" t="n">
        <v>0.98</v>
      </c>
      <c r="E56" s="15" t="n">
        <v>1</v>
      </c>
      <c r="F56" s="15" t="n">
        <v>1</v>
      </c>
      <c r="G56" t="inlineStr">
        <is>
          <t>ASSUMPTION</t>
        </is>
      </c>
      <c r="H56" t="inlineStr"/>
    </row>
    <row r="58">
      <c r="A58" s="9" t="inlineStr">
        <is>
          <t>Operating costs</t>
        </is>
      </c>
      <c r="B58" s="10" t="n"/>
      <c r="C58" s="10" t="n"/>
      <c r="D58" s="10" t="n"/>
      <c r="E58" s="10" t="n"/>
      <c r="F58" s="10" t="n"/>
      <c r="G58" s="10" t="n"/>
      <c r="H58" s="10" t="n"/>
    </row>
    <row r="59">
      <c r="A59" t="inlineStr">
        <is>
          <t>cogs_pct</t>
        </is>
      </c>
      <c r="B59" t="inlineStr">
        <is>
          <t>Food, beverage &amp; packaging cost</t>
        </is>
      </c>
      <c r="C59" t="inlineStr">
        <is>
          <t>of net sales</t>
        </is>
      </c>
      <c r="D59" s="13" t="n">
        <v>0.33</v>
      </c>
      <c r="E59" s="13" t="n">
        <v>0.31</v>
      </c>
      <c r="F59" s="13" t="n">
        <v>0.29</v>
      </c>
      <c r="G59" t="inlineStr">
        <is>
          <t>ESTIMATE</t>
        </is>
      </c>
      <c r="H59" t="inlineStr">
        <is>
          <t>PLACEHOLDER</t>
        </is>
      </c>
    </row>
    <row r="60">
      <c r="A60" t="inlineStr">
        <is>
          <t>waste_pct</t>
        </is>
      </c>
      <c r="B60" t="inlineStr">
        <is>
          <t>Waste</t>
        </is>
      </c>
      <c r="C60" t="inlineStr">
        <is>
          <t>of net sales</t>
        </is>
      </c>
      <c r="D60" s="13" t="n">
        <v>0.02</v>
      </c>
      <c r="E60" s="13" t="n">
        <v>0.02</v>
      </c>
      <c r="F60" s="13" t="n">
        <v>0.02</v>
      </c>
      <c r="G60" t="inlineStr">
        <is>
          <t>ASSUMPTION</t>
        </is>
      </c>
      <c r="H60" t="inlineStr">
        <is>
          <t>Bakery shrink, spoilage</t>
        </is>
      </c>
    </row>
    <row r="61">
      <c r="A61" t="inlineStr">
        <is>
          <t>card_share</t>
        </is>
      </c>
      <c r="B61" t="inlineStr">
        <is>
          <t>Card/wallet share of payments</t>
        </is>
      </c>
      <c r="C61" t="inlineStr">
        <is>
          <t>of gross</t>
        </is>
      </c>
      <c r="D61" s="13" t="n">
        <v>0.75</v>
      </c>
      <c r="E61" s="13" t="n">
        <v>0.75</v>
      </c>
      <c r="F61" s="13" t="n">
        <v>0.75</v>
      </c>
      <c r="G61" t="inlineStr">
        <is>
          <t>ASSUMPTION</t>
        </is>
      </c>
      <c r="H61" t="inlineStr">
        <is>
          <t>PLACEHOLDER</t>
        </is>
      </c>
    </row>
    <row r="62">
      <c r="A62" t="inlineStr">
        <is>
          <t>card_fee_pct</t>
        </is>
      </c>
      <c r="B62" t="inlineStr">
        <is>
          <t>Acquiring fee</t>
        </is>
      </c>
      <c r="C62" t="inlineStr"/>
      <c r="D62" s="13" t="n">
        <v>0.018</v>
      </c>
      <c r="E62" s="13" t="n">
        <v>0.018</v>
      </c>
      <c r="F62" s="13" t="n">
        <v>0.018</v>
      </c>
      <c r="G62" t="inlineStr">
        <is>
          <t>ASSUMPTION</t>
        </is>
      </c>
      <c r="H62" t="inlineStr">
        <is>
          <t>PLACEHOLDER</t>
        </is>
      </c>
    </row>
    <row r="63">
      <c r="A63" t="inlineStr">
        <is>
          <t>marketing_pct</t>
        </is>
      </c>
      <c r="B63" t="inlineStr">
        <is>
          <t>Ongoing marketing</t>
        </is>
      </c>
      <c r="C63" t="inlineStr">
        <is>
          <t>of net sales</t>
        </is>
      </c>
      <c r="D63" s="13" t="n">
        <v>0.03</v>
      </c>
      <c r="E63" s="13" t="n">
        <v>0.03</v>
      </c>
      <c r="F63" s="13" t="n">
        <v>0.03</v>
      </c>
      <c r="G63" t="inlineStr">
        <is>
          <t>ASSUMPTION</t>
        </is>
      </c>
      <c r="H63" t="inlineStr"/>
    </row>
    <row r="64">
      <c r="A64" t="inlineStr">
        <is>
          <t>launch_marketing_amd</t>
        </is>
      </c>
      <c r="B64" t="inlineStr">
        <is>
          <t>Launch marketing (months 1-3)</t>
        </is>
      </c>
      <c r="C64" t="inlineStr">
        <is>
          <t>AMD</t>
        </is>
      </c>
      <c r="D64" s="14" t="n">
        <v>12000000</v>
      </c>
      <c r="E64" s="14" t="n">
        <v>12000000</v>
      </c>
      <c r="F64" s="14" t="n">
        <v>12000000</v>
      </c>
      <c r="G64" t="inlineStr">
        <is>
          <t>ASSUMPTION</t>
        </is>
      </c>
      <c r="H64" t="inlineStr"/>
    </row>
    <row r="65">
      <c r="A65" t="inlineStr">
        <is>
          <t>repairs_maint_pct</t>
        </is>
      </c>
      <c r="B65" t="inlineStr">
        <is>
          <t>Repairs &amp; maintenance</t>
        </is>
      </c>
      <c r="C65" t="inlineStr">
        <is>
          <t>of net sales</t>
        </is>
      </c>
      <c r="D65" s="13" t="n">
        <v>0.015</v>
      </c>
      <c r="E65" s="13" t="n">
        <v>0.015</v>
      </c>
      <c r="F65" s="13" t="n">
        <v>0.015</v>
      </c>
      <c r="G65" t="inlineStr">
        <is>
          <t>ASSUMPTION</t>
        </is>
      </c>
      <c r="H65" t="inlineStr"/>
    </row>
    <row r="66">
      <c r="A66" t="inlineStr">
        <is>
          <t>other_variable_pct</t>
        </is>
      </c>
      <c r="B66" t="inlineStr">
        <is>
          <t>Other variable costs</t>
        </is>
      </c>
      <c r="C66" t="inlineStr">
        <is>
          <t>of net sales</t>
        </is>
      </c>
      <c r="D66" s="13" t="n">
        <v>0.01</v>
      </c>
      <c r="E66" s="13" t="n">
        <v>0.01</v>
      </c>
      <c r="F66" s="13" t="n">
        <v>0.01</v>
      </c>
      <c r="G66" t="inlineStr">
        <is>
          <t>ASSUMPTION</t>
        </is>
      </c>
      <c r="H66" t="inlineStr">
        <is>
          <t>Cleaning chemicals, small wares, POS/app SaaS</t>
        </is>
      </c>
    </row>
    <row r="67">
      <c r="A67" t="inlineStr">
        <is>
          <t>utilities_variable_pct</t>
        </is>
      </c>
      <c r="B67" t="inlineStr">
        <is>
          <t>Utilities (variable part)</t>
        </is>
      </c>
      <c r="C67" t="inlineStr">
        <is>
          <t>of net sales</t>
        </is>
      </c>
      <c r="D67" s="13" t="n">
        <v>0.012</v>
      </c>
      <c r="E67" s="13" t="n">
        <v>0.012</v>
      </c>
      <c r="F67" s="13" t="n">
        <v>0.012</v>
      </c>
      <c r="G67" t="inlineStr">
        <is>
          <t>ESTIMATE</t>
        </is>
      </c>
      <c r="H67" t="inlineStr"/>
    </row>
    <row r="68">
      <c r="A68" t="inlineStr">
        <is>
          <t>fixed_other_amd_month</t>
        </is>
      </c>
      <c r="B68" t="inlineStr">
        <is>
          <t>Other fixed costs</t>
        </is>
      </c>
      <c r="C68" t="inlineStr">
        <is>
          <t>AMD/month</t>
        </is>
      </c>
      <c r="D68" s="14" t="n">
        <v>750000</v>
      </c>
      <c r="E68" s="14" t="n">
        <v>750000</v>
      </c>
      <c r="F68" s="14" t="n">
        <v>750000</v>
      </c>
      <c r="G68" t="inlineStr">
        <is>
          <t>ASSUMPTION</t>
        </is>
      </c>
      <c r="H68" t="inlineStr">
        <is>
          <t>Insurance, accounting, security, waste, licences, IT, cleaning</t>
        </is>
      </c>
    </row>
    <row r="69">
      <c r="A69" t="inlineStr">
        <is>
          <t>rent_amd_month</t>
        </is>
      </c>
      <c r="B69" t="inlineStr">
        <is>
          <t>Ground lease</t>
        </is>
      </c>
      <c r="C69" t="inlineStr">
        <is>
          <t>AMD/month</t>
        </is>
      </c>
      <c r="D69" s="14" t="n">
        <v>1800000</v>
      </c>
      <c r="E69" s="14" t="n">
        <v>1500000</v>
      </c>
      <c r="F69" s="14" t="n">
        <v>1300000</v>
      </c>
      <c r="G69" t="inlineStr">
        <is>
          <t>ASSUMPTION</t>
        </is>
      </c>
      <c r="H69" t="inlineStr">
        <is>
          <t>PLACEHOLDER</t>
        </is>
      </c>
    </row>
    <row r="70">
      <c r="A70" t="inlineStr">
        <is>
          <t>land_property_tax_amd_year</t>
        </is>
      </c>
      <c r="B70" t="inlineStr">
        <is>
          <t>Land &amp; property tax</t>
        </is>
      </c>
      <c r="C70" t="inlineStr">
        <is>
          <t>AMD/yr</t>
        </is>
      </c>
      <c r="D70" s="14" t="n">
        <v>600000</v>
      </c>
      <c r="E70" s="14" t="n">
        <v>600000</v>
      </c>
      <c r="F70" s="14" t="n">
        <v>600000</v>
      </c>
      <c r="G70" t="inlineStr">
        <is>
          <t>ESTIMATE</t>
        </is>
      </c>
      <c r="H70" t="inlineStr">
        <is>
          <t>PLACEHOLDER</t>
        </is>
      </c>
    </row>
    <row r="71">
      <c r="A71" t="inlineStr">
        <is>
          <t>employer_oncost_pct</t>
        </is>
      </c>
      <c r="B71" t="inlineStr">
        <is>
          <t>Employer on-costs</t>
        </is>
      </c>
      <c r="C71" t="inlineStr">
        <is>
          <t>of gross wages</t>
        </is>
      </c>
      <c r="D71" s="13" t="n">
        <v>0.01</v>
      </c>
      <c r="E71" s="13" t="n">
        <v>0.01</v>
      </c>
      <c r="F71" s="13" t="n">
        <v>0.01</v>
      </c>
      <c r="G71" t="inlineStr">
        <is>
          <t>ASSUMPTION</t>
        </is>
      </c>
      <c r="H71" t="inlineStr">
        <is>
          <t>PLACEHOLDER</t>
        </is>
      </c>
    </row>
    <row r="72">
      <c r="A72" t="inlineStr">
        <is>
          <t>staff_meals_uniforms_amd_month</t>
        </is>
      </c>
      <c r="B72" t="inlineStr">
        <is>
          <t>Staff meals &amp; uniforms</t>
        </is>
      </c>
      <c r="C72" t="inlineStr">
        <is>
          <t>AMD/FTE/month</t>
        </is>
      </c>
      <c r="D72" s="14" t="n">
        <v>15000</v>
      </c>
      <c r="E72" s="14" t="n">
        <v>15000</v>
      </c>
      <c r="F72" s="14" t="n">
        <v>15000</v>
      </c>
      <c r="G72" t="inlineStr">
        <is>
          <t>ASSUMPTION</t>
        </is>
      </c>
      <c r="H72" t="inlineStr"/>
    </row>
    <row r="73">
      <c r="A73" t="inlineStr">
        <is>
          <t>peak_season_threshold</t>
        </is>
      </c>
      <c r="B73" t="inlineStr">
        <is>
          <t>Peak staffing threshold</t>
        </is>
      </c>
      <c r="C73" t="inlineStr">
        <is>
          <t>index</t>
        </is>
      </c>
      <c r="D73" s="15" t="n">
        <v>1.15</v>
      </c>
      <c r="E73" s="15" t="n">
        <v>1.15</v>
      </c>
      <c r="F73" s="15" t="n">
        <v>1.15</v>
      </c>
      <c r="G73" t="inlineStr">
        <is>
          <t>ASSUMPTION</t>
        </is>
      </c>
      <c r="H73" t="inlineStr">
        <is>
          <t>Add seasonal staff when seasonality ≥ threshold</t>
        </is>
      </c>
    </row>
    <row r="74">
      <c r="A74" t="inlineStr">
        <is>
          <t>cost_inflation</t>
        </is>
      </c>
      <c r="B74" t="inlineStr">
        <is>
          <t>Non-labour cost inflation</t>
        </is>
      </c>
      <c r="C74" t="inlineStr">
        <is>
          <t>/yr</t>
        </is>
      </c>
      <c r="D74" s="13" t="n">
        <v>0.045</v>
      </c>
      <c r="E74" s="13" t="n">
        <v>0.04</v>
      </c>
      <c r="F74" s="13" t="n">
        <v>0.035</v>
      </c>
      <c r="G74" t="inlineStr">
        <is>
          <t>ASSUMPTION</t>
        </is>
      </c>
      <c r="H74" t="inlineStr"/>
    </row>
    <row r="75">
      <c r="A75" t="inlineStr">
        <is>
          <t>wage_growth</t>
        </is>
      </c>
      <c r="B75" t="inlineStr">
        <is>
          <t>Wage growth</t>
        </is>
      </c>
      <c r="C75" t="inlineStr">
        <is>
          <t>/yr</t>
        </is>
      </c>
      <c r="D75" s="13" t="n">
        <v>0.08</v>
      </c>
      <c r="E75" s="13" t="n">
        <v>0.07000000000000001</v>
      </c>
      <c r="F75" s="13" t="n">
        <v>0.06</v>
      </c>
      <c r="G75" t="inlineStr">
        <is>
          <t>ASSUMPTION</t>
        </is>
      </c>
      <c r="H75" t="inlineStr">
        <is>
          <t>Nominal wage growth</t>
        </is>
      </c>
    </row>
    <row r="76">
      <c r="A76" t="inlineStr">
        <is>
          <t>maintenance_capex_pct</t>
        </is>
      </c>
      <c r="B76" t="inlineStr">
        <is>
          <t>Maintenance capex (from Y2)</t>
        </is>
      </c>
      <c r="C76" t="inlineStr">
        <is>
          <t>of net sales</t>
        </is>
      </c>
      <c r="D76" s="13" t="n">
        <v>0.01</v>
      </c>
      <c r="E76" s="13" t="n">
        <v>0.01</v>
      </c>
      <c r="F76" s="13" t="n">
        <v>0.01</v>
      </c>
      <c r="G76" t="inlineStr">
        <is>
          <t>ASSUMPTION</t>
        </is>
      </c>
      <c r="H76" t="inlineStr"/>
    </row>
    <row r="77">
      <c r="A77" t="inlineStr">
        <is>
          <t>working_capital_days</t>
        </is>
      </c>
      <c r="B77" t="inlineStr">
        <is>
          <t>Working capital</t>
        </is>
      </c>
      <c r="C77" t="inlineStr">
        <is>
          <t>days of COGS</t>
        </is>
      </c>
      <c r="D77" s="14" t="n">
        <v>10</v>
      </c>
      <c r="E77" s="14" t="n">
        <v>10</v>
      </c>
      <c r="F77" s="14" t="n">
        <v>10</v>
      </c>
      <c r="G77" t="inlineStr">
        <is>
          <t>ASSUMPTION</t>
        </is>
      </c>
      <c r="H77" t="inlineStr">
        <is>
          <t>Inventory net of supplier credit</t>
        </is>
      </c>
    </row>
    <row r="79">
      <c r="A79" s="9" t="inlineStr">
        <is>
          <t>Concept-dependent inputs (Lean | Mid-range | Flagship) — NOTE columns are concepts, not scenarios</t>
        </is>
      </c>
      <c r="B79" s="10" t="n"/>
      <c r="C79" s="10" t="n"/>
      <c r="D79" s="10" t="n"/>
      <c r="E79" s="10" t="n"/>
      <c r="F79" s="10" t="n"/>
      <c r="G79" s="10" t="n"/>
      <c r="H79" s="10" t="n"/>
    </row>
    <row r="80">
      <c r="A80" t="inlineStr">
        <is>
          <t>c_fte_base</t>
        </is>
      </c>
      <c r="B80" t="inlineStr">
        <is>
          <t>Base FTE (crew)</t>
        </is>
      </c>
      <c r="C80" t="inlineStr">
        <is>
          <t>concept</t>
        </is>
      </c>
      <c r="D80" s="14" t="n">
        <v>6</v>
      </c>
      <c r="E80" s="14" t="n">
        <v>10</v>
      </c>
      <c r="F80" s="14" t="n">
        <v>14</v>
      </c>
      <c r="G80" t="inlineStr">
        <is>
          <t>ESTIMATE</t>
        </is>
      </c>
      <c r="H80" t="inlineStr">
        <is>
          <t>See research/C3-labor.md</t>
        </is>
      </c>
    </row>
    <row r="81">
      <c r="A81" t="inlineStr">
        <is>
          <t>c_fte_peak_extra</t>
        </is>
      </c>
      <c r="B81" t="inlineStr">
        <is>
          <t>Extra FTE in peak months</t>
        </is>
      </c>
      <c r="C81" t="inlineStr">
        <is>
          <t>concept</t>
        </is>
      </c>
      <c r="D81" s="14" t="n">
        <v>2</v>
      </c>
      <c r="E81" s="14" t="n">
        <v>3</v>
      </c>
      <c r="F81" s="14" t="n">
        <v>4</v>
      </c>
      <c r="G81" t="inlineStr">
        <is>
          <t>ESTIMATE</t>
        </is>
      </c>
      <c r="H81" t="inlineStr">
        <is>
          <t>See research/C3-labor.md</t>
        </is>
      </c>
    </row>
    <row r="82">
      <c r="A82" t="inlineStr">
        <is>
          <t>c_avg_gross_wage_amd</t>
        </is>
      </c>
      <c r="B82" t="inlineStr">
        <is>
          <t>Average crew gross wage (AMD/month)</t>
        </is>
      </c>
      <c r="C82" t="inlineStr">
        <is>
          <t>concept</t>
        </is>
      </c>
      <c r="D82" s="14" t="n">
        <v>250000</v>
      </c>
      <c r="E82" s="14" t="n">
        <v>260000</v>
      </c>
      <c r="F82" s="14" t="n">
        <v>270000</v>
      </c>
      <c r="G82" t="inlineStr">
        <is>
          <t>ESTIMATE</t>
        </is>
      </c>
      <c r="H82" t="inlineStr">
        <is>
          <t>See research/C3-labor.md</t>
        </is>
      </c>
    </row>
    <row r="83">
      <c r="A83" t="inlineStr">
        <is>
          <t>c_manager_gross_amd</t>
        </is>
      </c>
      <c r="B83" t="inlineStr">
        <is>
          <t>Store manager gross wage (AMD/month)</t>
        </is>
      </c>
      <c r="C83" t="inlineStr">
        <is>
          <t>concept</t>
        </is>
      </c>
      <c r="D83" s="14" t="n">
        <v>450000</v>
      </c>
      <c r="E83" s="14" t="n">
        <v>600000</v>
      </c>
      <c r="F83" s="14" t="n">
        <v>700000</v>
      </c>
      <c r="G83" t="inlineStr">
        <is>
          <t>ESTIMATE</t>
        </is>
      </c>
      <c r="H83" t="inlineStr">
        <is>
          <t>See research/C3-labor.md</t>
        </is>
      </c>
    </row>
    <row r="84">
      <c r="A84" t="inlineStr">
        <is>
          <t>c_util_fixed</t>
        </is>
      </c>
      <c r="B84" t="inlineStr">
        <is>
          <t>Utilities (fixed part)</t>
        </is>
      </c>
      <c r="C84" t="inlineStr">
        <is>
          <t>AMD/month</t>
        </is>
      </c>
      <c r="D84" s="14" t="n">
        <v>300000</v>
      </c>
      <c r="E84" s="14" t="n">
        <v>480000</v>
      </c>
      <c r="F84" s="14" t="n">
        <v>700000</v>
      </c>
      <c r="G84" t="inlineStr">
        <is>
          <t>ESTIMATE</t>
        </is>
      </c>
      <c r="H84" t="inlineStr">
        <is>
          <t>PLACEHOLDER</t>
        </is>
      </c>
    </row>
    <row r="85">
      <c r="A85" t="inlineStr">
        <is>
          <t>c_preopen</t>
        </is>
      </c>
      <c r="B85" t="inlineStr">
        <is>
          <t>Pre-opening (recruitment, training, trial ops)</t>
        </is>
      </c>
      <c r="C85" t="inlineStr">
        <is>
          <t>AMD</t>
        </is>
      </c>
      <c r="D85" s="14" t="n">
        <v>8000000</v>
      </c>
      <c r="E85" s="14" t="n">
        <v>14000000</v>
      </c>
      <c r="F85" s="14" t="n">
        <v>20000000</v>
      </c>
      <c r="G85" t="inlineStr">
        <is>
          <t>ASSUMPTION</t>
        </is>
      </c>
      <c r="H85" t="inlineStr">
        <is>
          <t>PLACEHOLDER</t>
        </is>
      </c>
    </row>
    <row r="87">
      <c r="A87" s="9" t="inlineStr">
        <is>
          <t>Depreciation lives (years; 0 = not depreciated)</t>
        </is>
      </c>
      <c r="B87" s="10" t="n"/>
      <c r="C87" s="10" t="n"/>
      <c r="D87" s="10" t="n"/>
      <c r="E87" s="10" t="n"/>
      <c r="F87" s="10" t="n"/>
      <c r="G87" s="10" t="n"/>
      <c r="H87" s="10" t="n"/>
    </row>
    <row r="88">
      <c r="A88" t="inlineStr">
        <is>
          <t>dep_building</t>
        </is>
      </c>
      <c r="B88" t="inlineStr">
        <is>
          <t>Life — building</t>
        </is>
      </c>
      <c r="C88" t="inlineStr">
        <is>
          <t>years</t>
        </is>
      </c>
      <c r="D88" s="12" t="n">
        <v>20</v>
      </c>
      <c r="E88" s="12" t="n">
        <v>20</v>
      </c>
      <c r="F88" s="12" t="n">
        <v>20</v>
      </c>
      <c r="G88" t="inlineStr">
        <is>
          <t>ASSUMPTION</t>
        </is>
      </c>
      <c r="H88" t="inlineStr">
        <is>
          <t>PLACEHOLDER</t>
        </is>
      </c>
    </row>
    <row r="89">
      <c r="A89" t="inlineStr">
        <is>
          <t>dep_site_works</t>
        </is>
      </c>
      <c r="B89" t="inlineStr">
        <is>
          <t>Life — site_works</t>
        </is>
      </c>
      <c r="C89" t="inlineStr">
        <is>
          <t>years</t>
        </is>
      </c>
      <c r="D89" s="12" t="n">
        <v>10</v>
      </c>
      <c r="E89" s="12" t="n">
        <v>10</v>
      </c>
      <c r="F89" s="12" t="n">
        <v>10</v>
      </c>
      <c r="G89" t="inlineStr">
        <is>
          <t>ASSUMPTION</t>
        </is>
      </c>
      <c r="H89" t="inlineStr"/>
    </row>
    <row r="90">
      <c r="A90" t="inlineStr">
        <is>
          <t>dep_equipment</t>
        </is>
      </c>
      <c r="B90" t="inlineStr">
        <is>
          <t>Life — equipment</t>
        </is>
      </c>
      <c r="C90" t="inlineStr">
        <is>
          <t>years</t>
        </is>
      </c>
      <c r="D90" s="12" t="n">
        <v>5</v>
      </c>
      <c r="E90" s="12" t="n">
        <v>5</v>
      </c>
      <c r="F90" s="12" t="n">
        <v>5</v>
      </c>
      <c r="G90" t="inlineStr">
        <is>
          <t>ASSUMPTION</t>
        </is>
      </c>
      <c r="H90" t="inlineStr"/>
    </row>
    <row r="91">
      <c r="A91" t="inlineStr">
        <is>
          <t>dep_technology</t>
        </is>
      </c>
      <c r="B91" t="inlineStr">
        <is>
          <t>Life — technology</t>
        </is>
      </c>
      <c r="C91" t="inlineStr">
        <is>
          <t>years</t>
        </is>
      </c>
      <c r="D91" s="12" t="n">
        <v>3</v>
      </c>
      <c r="E91" s="12" t="n">
        <v>3</v>
      </c>
      <c r="F91" s="12" t="n">
        <v>3</v>
      </c>
      <c r="G91" t="inlineStr">
        <is>
          <t>ASSUMPTION</t>
        </is>
      </c>
      <c r="H91" t="inlineStr"/>
    </row>
    <row r="92">
      <c r="A92" t="inlineStr">
        <is>
          <t>dep_signage</t>
        </is>
      </c>
      <c r="B92" t="inlineStr">
        <is>
          <t>Life — signage</t>
        </is>
      </c>
      <c r="C92" t="inlineStr">
        <is>
          <t>years</t>
        </is>
      </c>
      <c r="D92" s="12" t="n">
        <v>5</v>
      </c>
      <c r="E92" s="12" t="n">
        <v>5</v>
      </c>
      <c r="F92" s="12" t="n">
        <v>5</v>
      </c>
      <c r="G92" t="inlineStr">
        <is>
          <t>ASSUMPTION</t>
        </is>
      </c>
      <c r="H92" t="inlineStr"/>
    </row>
    <row r="93">
      <c r="A93" t="inlineStr">
        <is>
          <t>dep_soft</t>
        </is>
      </c>
      <c r="B93" t="inlineStr">
        <is>
          <t>Life — soft</t>
        </is>
      </c>
      <c r="C93" t="inlineStr">
        <is>
          <t>years</t>
        </is>
      </c>
      <c r="D93" s="12" t="n">
        <v>5</v>
      </c>
      <c r="E93" s="12" t="n">
        <v>5</v>
      </c>
      <c r="F93" s="12" t="n">
        <v>5</v>
      </c>
      <c r="G93" t="inlineStr">
        <is>
          <t>ASSUMPTION</t>
        </is>
      </c>
      <c r="H93" t="inlineStr"/>
    </row>
    <row r="94">
      <c r="A94" t="inlineStr">
        <is>
          <t>dep_land</t>
        </is>
      </c>
      <c r="B94" t="inlineStr">
        <is>
          <t>Life — land</t>
        </is>
      </c>
      <c r="C94" t="inlineStr">
        <is>
          <t>years</t>
        </is>
      </c>
      <c r="D94" s="12" t="n">
        <v>0</v>
      </c>
      <c r="E94" s="12" t="n">
        <v>0</v>
      </c>
      <c r="F94" s="12" t="n">
        <v>0</v>
      </c>
      <c r="G94" t="inlineStr">
        <is>
          <t>ASSUMPTION</t>
        </is>
      </c>
      <c r="H9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>
      <c r="A1" s="8" t="inlineStr">
        <is>
          <t>CHAMPA — 5-year P&amp;L and cash flow (AMD, nominal)</t>
        </is>
      </c>
    </row>
    <row r="3">
      <c r="A3" s="16" t="inlineStr">
        <is>
          <t>CONSERVATIVE SCENARIO</t>
        </is>
      </c>
      <c r="C3" s="17" t="inlineStr">
        <is>
          <t>Year 1</t>
        </is>
      </c>
      <c r="D3" s="17" t="inlineStr">
        <is>
          <t>Year 2</t>
        </is>
      </c>
      <c r="E3" s="17" t="inlineStr">
        <is>
          <t>Year 3</t>
        </is>
      </c>
      <c r="F3" s="17" t="inlineStr">
        <is>
          <t>Year 4</t>
        </is>
      </c>
      <c r="G3" s="17" t="inlineStr">
        <is>
          <t>Year 5</t>
        </is>
      </c>
    </row>
    <row r="4">
      <c r="A4" t="inlineStr">
        <is>
          <t>Transactions (year)</t>
        </is>
      </c>
      <c r="C4" s="5">
        <f>SUMPRODUCT((M_Cons!$C$4:$BJ$4=1)*M_Cons!$C$11:$BJ$11*M_Cons!$C$6:$BJ$6)</f>
        <v/>
      </c>
      <c r="D4" s="5">
        <f>SUMPRODUCT((M_Cons!$C$4:$BJ$4=2)*M_Cons!$C$11:$BJ$11*M_Cons!$C$6:$BJ$6)</f>
        <v/>
      </c>
      <c r="E4" s="5">
        <f>SUMPRODUCT((M_Cons!$C$4:$BJ$4=3)*M_Cons!$C$11:$BJ$11*M_Cons!$C$6:$BJ$6)</f>
        <v/>
      </c>
      <c r="F4" s="5">
        <f>SUMPRODUCT((M_Cons!$C$4:$BJ$4=4)*M_Cons!$C$11:$BJ$11*M_Cons!$C$6:$BJ$6)</f>
        <v/>
      </c>
      <c r="G4" s="5">
        <f>SUMPRODUCT((M_Cons!$C$4:$BJ$4=5)*M_Cons!$C$11:$BJ$11*M_Cons!$C$6:$BJ$6)</f>
        <v/>
      </c>
    </row>
    <row r="5">
      <c r="A5" t="inlineStr">
        <is>
          <t>Transactions / day (avg)</t>
        </is>
      </c>
      <c r="C5" s="5">
        <f>C4/SUMIF(M_Cons!$C$4:$BJ$4,1,M_Cons!$C$6:$BJ$6)</f>
        <v/>
      </c>
      <c r="D5" s="5">
        <f>D4/SUMIF(M_Cons!$C$4:$BJ$4,2,M_Cons!$C$6:$BJ$6)</f>
        <v/>
      </c>
      <c r="E5" s="5">
        <f>E4/SUMIF(M_Cons!$C$4:$BJ$4,3,M_Cons!$C$6:$BJ$6)</f>
        <v/>
      </c>
      <c r="F5" s="5">
        <f>F4/SUMIF(M_Cons!$C$4:$BJ$4,4,M_Cons!$C$6:$BJ$6)</f>
        <v/>
      </c>
      <c r="G5" s="5">
        <f>G4/SUMIF(M_Cons!$C$4:$BJ$4,5,M_Cons!$C$6:$BJ$6)</f>
        <v/>
      </c>
    </row>
    <row r="6">
      <c r="A6" t="inlineStr">
        <is>
          <t>Average ticket (AMD incl. VAT)</t>
        </is>
      </c>
      <c r="C6" s="5">
        <f>C7/C4</f>
        <v/>
      </c>
      <c r="D6" s="5">
        <f>D7/D4</f>
        <v/>
      </c>
      <c r="E6" s="5">
        <f>E7/E4</f>
        <v/>
      </c>
      <c r="F6" s="5">
        <f>F7/F4</f>
        <v/>
      </c>
      <c r="G6" s="5">
        <f>G7/G4</f>
        <v/>
      </c>
    </row>
    <row r="7">
      <c r="A7" t="inlineStr">
        <is>
          <t>Gross sales (incl. VAT)</t>
        </is>
      </c>
      <c r="C7" s="3">
        <f>SUMIF(M_Cons!$C$4:$BJ$4,1,M_Cons!$C$13:$BJ$13)</f>
        <v/>
      </c>
      <c r="D7" s="3">
        <f>SUMIF(M_Cons!$C$4:$BJ$4,2,M_Cons!$C$13:$BJ$13)</f>
        <v/>
      </c>
      <c r="E7" s="3">
        <f>SUMIF(M_Cons!$C$4:$BJ$4,3,M_Cons!$C$13:$BJ$13)</f>
        <v/>
      </c>
      <c r="F7" s="3">
        <f>SUMIF(M_Cons!$C$4:$BJ$4,4,M_Cons!$C$13:$BJ$13)</f>
        <v/>
      </c>
      <c r="G7" s="3">
        <f>SUMIF(M_Cons!$C$4:$BJ$4,5,M_Cons!$C$13:$BJ$13)</f>
        <v/>
      </c>
    </row>
    <row r="8">
      <c r="A8" s="18" t="inlineStr">
        <is>
          <t>Net sales (excl. VAT)</t>
        </is>
      </c>
      <c r="C8" s="3">
        <f>SUMIF(M_Cons!$C$4:$BJ$4,1,M_Cons!$C$14:$BJ$14)</f>
        <v/>
      </c>
      <c r="D8" s="3">
        <f>SUMIF(M_Cons!$C$4:$BJ$4,2,M_Cons!$C$14:$BJ$14)</f>
        <v/>
      </c>
      <c r="E8" s="3">
        <f>SUMIF(M_Cons!$C$4:$BJ$4,3,M_Cons!$C$14:$BJ$14)</f>
        <v/>
      </c>
      <c r="F8" s="3">
        <f>SUMIF(M_Cons!$C$4:$BJ$4,4,M_Cons!$C$14:$BJ$14)</f>
        <v/>
      </c>
      <c r="G8" s="3">
        <f>SUMIF(M_Cons!$C$4:$BJ$4,5,M_Cons!$C$14:$BJ$14)</f>
        <v/>
      </c>
    </row>
    <row r="9">
      <c r="A9" t="inlineStr">
        <is>
          <t>COGS + waste</t>
        </is>
      </c>
      <c r="C9" s="3">
        <f>SUMIF(M_Cons!$C$4:$BJ$4,1,M_Cons!$C$15:$BJ$15)</f>
        <v/>
      </c>
      <c r="D9" s="3">
        <f>SUMIF(M_Cons!$C$4:$BJ$4,2,M_Cons!$C$15:$BJ$15)</f>
        <v/>
      </c>
      <c r="E9" s="3">
        <f>SUMIF(M_Cons!$C$4:$BJ$4,3,M_Cons!$C$15:$BJ$15)</f>
        <v/>
      </c>
      <c r="F9" s="3">
        <f>SUMIF(M_Cons!$C$4:$BJ$4,4,M_Cons!$C$15:$BJ$15)</f>
        <v/>
      </c>
      <c r="G9" s="3">
        <f>SUMIF(M_Cons!$C$4:$BJ$4,5,M_Cons!$C$15:$BJ$15)</f>
        <v/>
      </c>
    </row>
    <row r="10">
      <c r="A10" t="inlineStr">
        <is>
          <t>Gross profit</t>
        </is>
      </c>
      <c r="C10" s="3">
        <f>C8-C9</f>
        <v/>
      </c>
      <c r="D10" s="3">
        <f>D8-D9</f>
        <v/>
      </c>
      <c r="E10" s="3">
        <f>E8-E9</f>
        <v/>
      </c>
      <c r="F10" s="3">
        <f>F8-F9</f>
        <v/>
      </c>
      <c r="G10" s="3">
        <f>G8-G9</f>
        <v/>
      </c>
    </row>
    <row r="11">
      <c r="A11" t="inlineStr">
        <is>
          <t>Gross margin %</t>
        </is>
      </c>
      <c r="C11" s="6">
        <f>IFERROR(C10/C8,0)</f>
        <v/>
      </c>
      <c r="D11" s="6">
        <f>IFERROR(D10/D8,0)</f>
        <v/>
      </c>
      <c r="E11" s="6">
        <f>IFERROR(E10/E8,0)</f>
        <v/>
      </c>
      <c r="F11" s="6">
        <f>IFERROR(F10/F8,0)</f>
        <v/>
      </c>
      <c r="G11" s="6">
        <f>IFERROR(G10/G8,0)</f>
        <v/>
      </c>
    </row>
    <row r="12">
      <c r="A12" t="inlineStr">
        <is>
          <t>Labour</t>
        </is>
      </c>
      <c r="C12" s="3">
        <f>SUMIF(M_Cons!$C$4:$BJ$4,1,M_Cons!$C$23:$BJ$23)</f>
        <v/>
      </c>
      <c r="D12" s="3">
        <f>SUMIF(M_Cons!$C$4:$BJ$4,2,M_Cons!$C$23:$BJ$23)</f>
        <v/>
      </c>
      <c r="E12" s="3">
        <f>SUMIF(M_Cons!$C$4:$BJ$4,3,M_Cons!$C$23:$BJ$23)</f>
        <v/>
      </c>
      <c r="F12" s="3">
        <f>SUMIF(M_Cons!$C$4:$BJ$4,4,M_Cons!$C$23:$BJ$23)</f>
        <v/>
      </c>
      <c r="G12" s="3">
        <f>SUMIF(M_Cons!$C$4:$BJ$4,5,M_Cons!$C$23:$BJ$23)</f>
        <v/>
      </c>
    </row>
    <row r="13">
      <c r="A13" t="inlineStr">
        <is>
          <t>Ground rent</t>
        </is>
      </c>
      <c r="C13" s="3">
        <f>SUMIF(M_Cons!$C$4:$BJ$4,1,M_Cons!$C$24:$BJ$24)</f>
        <v/>
      </c>
      <c r="D13" s="3">
        <f>SUMIF(M_Cons!$C$4:$BJ$4,2,M_Cons!$C$24:$BJ$24)</f>
        <v/>
      </c>
      <c r="E13" s="3">
        <f>SUMIF(M_Cons!$C$4:$BJ$4,3,M_Cons!$C$24:$BJ$24)</f>
        <v/>
      </c>
      <c r="F13" s="3">
        <f>SUMIF(M_Cons!$C$4:$BJ$4,4,M_Cons!$C$24:$BJ$24)</f>
        <v/>
      </c>
      <c r="G13" s="3">
        <f>SUMIF(M_Cons!$C$4:$BJ$4,5,M_Cons!$C$24:$BJ$24)</f>
        <v/>
      </c>
    </row>
    <row r="14">
      <c r="A14" t="inlineStr">
        <is>
          <t>Utilities</t>
        </is>
      </c>
      <c r="C14" s="3">
        <f>SUMIF(M_Cons!$C$4:$BJ$4,1,M_Cons!$C$20:$BJ$20)</f>
        <v/>
      </c>
      <c r="D14" s="3">
        <f>SUMIF(M_Cons!$C$4:$BJ$4,2,M_Cons!$C$20:$BJ$20)</f>
        <v/>
      </c>
      <c r="E14" s="3">
        <f>SUMIF(M_Cons!$C$4:$BJ$4,3,M_Cons!$C$20:$BJ$20)</f>
        <v/>
      </c>
      <c r="F14" s="3">
        <f>SUMIF(M_Cons!$C$4:$BJ$4,4,M_Cons!$C$20:$BJ$20)</f>
        <v/>
      </c>
      <c r="G14" s="3">
        <f>SUMIF(M_Cons!$C$4:$BJ$4,5,M_Cons!$C$20:$BJ$20)</f>
        <v/>
      </c>
    </row>
    <row r="15">
      <c r="A15" t="inlineStr">
        <is>
          <t>Card fees</t>
        </is>
      </c>
      <c r="C15" s="3">
        <f>SUMIF(M_Cons!$C$4:$BJ$4,1,M_Cons!$C$16:$BJ$16)</f>
        <v/>
      </c>
      <c r="D15" s="3">
        <f>SUMIF(M_Cons!$C$4:$BJ$4,2,M_Cons!$C$16:$BJ$16)</f>
        <v/>
      </c>
      <c r="E15" s="3">
        <f>SUMIF(M_Cons!$C$4:$BJ$4,3,M_Cons!$C$16:$BJ$16)</f>
        <v/>
      </c>
      <c r="F15" s="3">
        <f>SUMIF(M_Cons!$C$4:$BJ$4,4,M_Cons!$C$16:$BJ$16)</f>
        <v/>
      </c>
      <c r="G15" s="3">
        <f>SUMIF(M_Cons!$C$4:$BJ$4,5,M_Cons!$C$16:$BJ$16)</f>
        <v/>
      </c>
    </row>
    <row r="16">
      <c r="A16" t="inlineStr">
        <is>
          <t>Marketing</t>
        </is>
      </c>
      <c r="C16" s="3">
        <f>SUMIF(M_Cons!$C$4:$BJ$4,1,M_Cons!$C$17:$BJ$17)</f>
        <v/>
      </c>
      <c r="D16" s="3">
        <f>SUMIF(M_Cons!$C$4:$BJ$4,2,M_Cons!$C$17:$BJ$17)</f>
        <v/>
      </c>
      <c r="E16" s="3">
        <f>SUMIF(M_Cons!$C$4:$BJ$4,3,M_Cons!$C$17:$BJ$17)</f>
        <v/>
      </c>
      <c r="F16" s="3">
        <f>SUMIF(M_Cons!$C$4:$BJ$4,4,M_Cons!$C$17:$BJ$17)</f>
        <v/>
      </c>
      <c r="G16" s="3">
        <f>SUMIF(M_Cons!$C$4:$BJ$4,5,M_Cons!$C$17:$BJ$17)</f>
        <v/>
      </c>
    </row>
    <row r="17">
      <c r="A17" t="inlineStr">
        <is>
          <t>Repairs &amp; maintenance</t>
        </is>
      </c>
      <c r="C17" s="3">
        <f>SUMIF(M_Cons!$C$4:$BJ$4,1,M_Cons!$C$18:$BJ$18)</f>
        <v/>
      </c>
      <c r="D17" s="3">
        <f>SUMIF(M_Cons!$C$4:$BJ$4,2,M_Cons!$C$18:$BJ$18)</f>
        <v/>
      </c>
      <c r="E17" s="3">
        <f>SUMIF(M_Cons!$C$4:$BJ$4,3,M_Cons!$C$18:$BJ$18)</f>
        <v/>
      </c>
      <c r="F17" s="3">
        <f>SUMIF(M_Cons!$C$4:$BJ$4,4,M_Cons!$C$18:$BJ$18)</f>
        <v/>
      </c>
      <c r="G17" s="3">
        <f>SUMIF(M_Cons!$C$4:$BJ$4,5,M_Cons!$C$18:$BJ$18)</f>
        <v/>
      </c>
    </row>
    <row r="18">
      <c r="A18" t="inlineStr">
        <is>
          <t>Other variable</t>
        </is>
      </c>
      <c r="C18" s="3">
        <f>SUMIF(M_Cons!$C$4:$BJ$4,1,M_Cons!$C$19:$BJ$19)</f>
        <v/>
      </c>
      <c r="D18" s="3">
        <f>SUMIF(M_Cons!$C$4:$BJ$4,2,M_Cons!$C$19:$BJ$19)</f>
        <v/>
      </c>
      <c r="E18" s="3">
        <f>SUMIF(M_Cons!$C$4:$BJ$4,3,M_Cons!$C$19:$BJ$19)</f>
        <v/>
      </c>
      <c r="F18" s="3">
        <f>SUMIF(M_Cons!$C$4:$BJ$4,4,M_Cons!$C$19:$BJ$19)</f>
        <v/>
      </c>
      <c r="G18" s="3">
        <f>SUMIF(M_Cons!$C$4:$BJ$4,5,M_Cons!$C$19:$BJ$19)</f>
        <v/>
      </c>
    </row>
    <row r="19">
      <c r="A19" t="inlineStr">
        <is>
          <t>Other fixed + land tax</t>
        </is>
      </c>
      <c r="C19" s="3">
        <f>SUMIF(M_Cons!$C$4:$BJ$4,1,M_Cons!$C$25:$BJ$25)</f>
        <v/>
      </c>
      <c r="D19" s="3">
        <f>SUMIF(M_Cons!$C$4:$BJ$4,2,M_Cons!$C$25:$BJ$25)</f>
        <v/>
      </c>
      <c r="E19" s="3">
        <f>SUMIF(M_Cons!$C$4:$BJ$4,3,M_Cons!$C$25:$BJ$25)</f>
        <v/>
      </c>
      <c r="F19" s="3">
        <f>SUMIF(M_Cons!$C$4:$BJ$4,4,M_Cons!$C$25:$BJ$25)</f>
        <v/>
      </c>
      <c r="G19" s="3">
        <f>SUMIF(M_Cons!$C$4:$BJ$4,5,M_Cons!$C$25:$BJ$25)</f>
        <v/>
      </c>
    </row>
    <row r="20">
      <c r="A20" t="inlineStr">
        <is>
          <t>Total operating costs</t>
        </is>
      </c>
      <c r="C20" s="3">
        <f>SUMIF(M_Cons!$C$4:$BJ$4,1,M_Cons!$C$26:$BJ$26)</f>
        <v/>
      </c>
      <c r="D20" s="3">
        <f>SUMIF(M_Cons!$C$4:$BJ$4,2,M_Cons!$C$26:$BJ$26)</f>
        <v/>
      </c>
      <c r="E20" s="3">
        <f>SUMIF(M_Cons!$C$4:$BJ$4,3,M_Cons!$C$26:$BJ$26)</f>
        <v/>
      </c>
      <c r="F20" s="3">
        <f>SUMIF(M_Cons!$C$4:$BJ$4,4,M_Cons!$C$26:$BJ$26)</f>
        <v/>
      </c>
      <c r="G20" s="3">
        <f>SUMIF(M_Cons!$C$4:$BJ$4,5,M_Cons!$C$26:$BJ$26)</f>
        <v/>
      </c>
    </row>
    <row r="21">
      <c r="A21" t="inlineStr">
        <is>
          <t>EBITDA before turnover tax</t>
        </is>
      </c>
      <c r="C21" s="3">
        <f>SUMIF(M_Cons!$C$4:$BJ$4,1,M_Cons!$C$27:$BJ$27)</f>
        <v/>
      </c>
      <c r="D21" s="3">
        <f>SUMIF(M_Cons!$C$4:$BJ$4,2,M_Cons!$C$27:$BJ$27)</f>
        <v/>
      </c>
      <c r="E21" s="3">
        <f>SUMIF(M_Cons!$C$4:$BJ$4,3,M_Cons!$C$27:$BJ$27)</f>
        <v/>
      </c>
      <c r="F21" s="3">
        <f>SUMIF(M_Cons!$C$4:$BJ$4,4,M_Cons!$C$27:$BJ$27)</f>
        <v/>
      </c>
      <c r="G21" s="3">
        <f>SUMIF(M_Cons!$C$4:$BJ$4,5,M_Cons!$C$27:$BJ$27)</f>
        <v/>
      </c>
    </row>
    <row r="22">
      <c r="A22" t="inlineStr">
        <is>
          <t>TT deduction credit (incl. carried)</t>
        </is>
      </c>
      <c r="C22" s="3">
        <f>Inputs!$D$13*(Inputs!$D$15*(C20-C17)+C28)</f>
        <v/>
      </c>
      <c r="D22" s="3">
        <f>Inputs!$D$13*(Inputs!$D$15*(D20-D17)+D28)</f>
        <v/>
      </c>
      <c r="E22" s="3">
        <f>Inputs!$D$13*(Inputs!$D$15*(E20-E17)+E28)</f>
        <v/>
      </c>
      <c r="F22" s="3">
        <f>Inputs!$D$13*(Inputs!$D$15*(F20-F17)+F28)</f>
        <v/>
      </c>
      <c r="G22" s="3">
        <f>Inputs!$D$13*(Inputs!$D$15*(G20-G17)+G28)</f>
        <v/>
      </c>
    </row>
    <row r="23">
      <c r="A23" t="inlineStr">
        <is>
          <t>Turnover tax (catering TT)</t>
        </is>
      </c>
      <c r="C23" s="3">
        <f>Inputs!$D$13*MAX(Inputs!$D$14*C7-C22,Inputs!$D$16*C7)</f>
        <v/>
      </c>
      <c r="D23" s="3">
        <f>Inputs!$D$13*MAX(Inputs!$D$14*D7-D22,Inputs!$D$16*D7)</f>
        <v/>
      </c>
      <c r="E23" s="3">
        <f>Inputs!$D$13*MAX(Inputs!$D$14*E7-E22,Inputs!$D$16*E7)</f>
        <v/>
      </c>
      <c r="F23" s="3">
        <f>Inputs!$D$13*MAX(Inputs!$D$14*F7-F22,Inputs!$D$16*F7)</f>
        <v/>
      </c>
      <c r="G23" s="3">
        <f>Inputs!$D$13*MAX(Inputs!$D$14*G7-G22,Inputs!$D$16*G7)</f>
        <v/>
      </c>
    </row>
    <row r="24">
      <c r="A24" s="18" t="inlineStr">
        <is>
          <t>EBITDA</t>
        </is>
      </c>
      <c r="C24" s="3">
        <f>C21-C23</f>
        <v/>
      </c>
      <c r="D24" s="3">
        <f>D21-D23</f>
        <v/>
      </c>
      <c r="E24" s="3">
        <f>E21-E23</f>
        <v/>
      </c>
      <c r="F24" s="3">
        <f>F21-F23</f>
        <v/>
      </c>
      <c r="G24" s="3">
        <f>G21-G23</f>
        <v/>
      </c>
    </row>
    <row r="25">
      <c r="A25" t="inlineStr">
        <is>
          <t>EBITDA margin %</t>
        </is>
      </c>
      <c r="C25" s="6">
        <f>IFERROR(C24/C8,0)</f>
        <v/>
      </c>
      <c r="D25" s="6">
        <f>IFERROR(D24/D8,0)</f>
        <v/>
      </c>
      <c r="E25" s="6">
        <f>IFERROR(E24/E8,0)</f>
        <v/>
      </c>
      <c r="F25" s="6">
        <f>IFERROR(F24/F8,0)</f>
        <v/>
      </c>
      <c r="G25" s="6">
        <f>IFERROR(G24/G8,0)</f>
        <v/>
      </c>
    </row>
    <row r="26">
      <c r="A26" t="inlineStr">
        <is>
          <t>Depreciation</t>
        </is>
      </c>
      <c r="C26" s="3">
        <f>SUMIF(M_Cons!$C$4:$BJ$4,1,M_Cons!$C$28:$BJ$28)</f>
        <v/>
      </c>
      <c r="D26" s="3">
        <f>SUMIF(M_Cons!$C$4:$BJ$4,2,M_Cons!$C$28:$BJ$28)</f>
        <v/>
      </c>
      <c r="E26" s="3">
        <f>SUMIF(M_Cons!$C$4:$BJ$4,3,M_Cons!$C$28:$BJ$28)</f>
        <v/>
      </c>
      <c r="F26" s="3">
        <f>SUMIF(M_Cons!$C$4:$BJ$4,4,M_Cons!$C$28:$BJ$28)</f>
        <v/>
      </c>
      <c r="G26" s="3">
        <f>SUMIF(M_Cons!$C$4:$BJ$4,5,M_Cons!$C$28:$BJ$28)</f>
        <v/>
      </c>
    </row>
    <row r="27">
      <c r="A27" t="inlineStr">
        <is>
          <t>EBIT</t>
        </is>
      </c>
      <c r="C27" s="3">
        <f>C24-C26</f>
        <v/>
      </c>
      <c r="D27" s="3">
        <f>D24-D26</f>
        <v/>
      </c>
      <c r="E27" s="3">
        <f>E24-E26</f>
        <v/>
      </c>
      <c r="F27" s="3">
        <f>F24-F26</f>
        <v/>
      </c>
      <c r="G27" s="3">
        <f>G24-G26</f>
        <v/>
      </c>
    </row>
    <row r="28">
      <c r="A28" t="inlineStr">
        <is>
          <t>Loss carried forward (opening)</t>
        </is>
      </c>
      <c r="C28" s="3">
        <f>0</f>
        <v/>
      </c>
      <c r="D28" s="3">
        <f>IF(Inputs!$D$13=1,MAX(0,C22-(Inputs!$D$14-Inputs!$D$16)*C7),MAX(0,C28-C27))</f>
        <v/>
      </c>
      <c r="E28" s="3">
        <f>IF(Inputs!$D$13=1,MAX(0,D22-(Inputs!$D$14-Inputs!$D$16)*D7),MAX(0,D28-D27))</f>
        <v/>
      </c>
      <c r="F28" s="3">
        <f>IF(Inputs!$D$13=1,MAX(0,E22-(Inputs!$D$14-Inputs!$D$16)*E7),MAX(0,E28-E27))</f>
        <v/>
      </c>
      <c r="G28" s="3">
        <f>IF(Inputs!$D$13=1,MAX(0,F22-(Inputs!$D$14-Inputs!$D$16)*F7),MAX(0,F28-F27))</f>
        <v/>
      </c>
    </row>
    <row r="29">
      <c r="A29" t="inlineStr">
        <is>
          <t>Taxable profit</t>
        </is>
      </c>
      <c r="C29" s="3">
        <f>(1-Inputs!$D$13)*MAX(0,C27-C28)</f>
        <v/>
      </c>
      <c r="D29" s="3">
        <f>(1-Inputs!$D$13)*MAX(0,D27-D28)</f>
        <v/>
      </c>
      <c r="E29" s="3">
        <f>(1-Inputs!$D$13)*MAX(0,E27-E28)</f>
        <v/>
      </c>
      <c r="F29" s="3">
        <f>(1-Inputs!$D$13)*MAX(0,F27-F28)</f>
        <v/>
      </c>
      <c r="G29" s="3">
        <f>(1-Inputs!$D$13)*MAX(0,G27-G28)</f>
        <v/>
      </c>
    </row>
    <row r="30">
      <c r="A30" t="inlineStr">
        <is>
          <t>Profit tax</t>
        </is>
      </c>
      <c r="C30" s="3">
        <f>C29*Inputs!$D$11</f>
        <v/>
      </c>
      <c r="D30" s="3">
        <f>D29*Inputs!$D$11</f>
        <v/>
      </c>
      <c r="E30" s="3">
        <f>E29*Inputs!$D$11</f>
        <v/>
      </c>
      <c r="F30" s="3">
        <f>F29*Inputs!$D$11</f>
        <v/>
      </c>
      <c r="G30" s="3">
        <f>G29*Inputs!$D$11</f>
        <v/>
      </c>
    </row>
    <row r="31">
      <c r="A31" s="18" t="inlineStr">
        <is>
          <t>Net income</t>
        </is>
      </c>
      <c r="C31" s="3">
        <f>C27-C30</f>
        <v/>
      </c>
      <c r="D31" s="3">
        <f>D27-D30</f>
        <v/>
      </c>
      <c r="E31" s="3">
        <f>E27-E30</f>
        <v/>
      </c>
      <c r="F31" s="3">
        <f>F27-F30</f>
        <v/>
      </c>
      <c r="G31" s="3">
        <f>G27-G30</f>
        <v/>
      </c>
    </row>
    <row r="32">
      <c r="A32" t="inlineStr">
        <is>
          <t>Net margin %</t>
        </is>
      </c>
      <c r="C32" s="6">
        <f>IFERROR(C31/C8,0)</f>
        <v/>
      </c>
      <c r="D32" s="6">
        <f>IFERROR(D31/D8,0)</f>
        <v/>
      </c>
      <c r="E32" s="6">
        <f>IFERROR(E31/E8,0)</f>
        <v/>
      </c>
      <c r="F32" s="6">
        <f>IFERROR(F31/F8,0)</f>
        <v/>
      </c>
      <c r="G32" s="6">
        <f>IFERROR(G31/G8,0)</f>
        <v/>
      </c>
    </row>
    <row r="33">
      <c r="A33" t="inlineStr">
        <is>
          <t>Maintenance capex</t>
        </is>
      </c>
      <c r="C33" s="3">
        <f>0</f>
        <v/>
      </c>
      <c r="D33" s="3">
        <f>D8*Inputs!$D$76</f>
        <v/>
      </c>
      <c r="E33" s="3">
        <f>E8*Inputs!$D$76</f>
        <v/>
      </c>
      <c r="F33" s="3">
        <f>F8*Inputs!$D$76</f>
        <v/>
      </c>
      <c r="G33" s="3">
        <f>G8*Inputs!$D$76</f>
        <v/>
      </c>
    </row>
    <row r="34">
      <c r="A34" t="inlineStr">
        <is>
          <t>Working capital (closing)</t>
        </is>
      </c>
      <c r="C34" s="3">
        <f>C9*Inputs!$D$77/365</f>
        <v/>
      </c>
      <c r="D34" s="3">
        <f>D9*Inputs!$D$77/365</f>
        <v/>
      </c>
      <c r="E34" s="3">
        <f>E9*Inputs!$D$77/365</f>
        <v/>
      </c>
      <c r="F34" s="3">
        <f>F9*Inputs!$D$77/365</f>
        <v/>
      </c>
      <c r="G34" s="3">
        <f>G9*Inputs!$D$77/365</f>
        <v/>
      </c>
    </row>
    <row r="35">
      <c r="A35" t="inlineStr">
        <is>
          <t>Δ Working capital</t>
        </is>
      </c>
      <c r="C35" s="3">
        <f>C34</f>
        <v/>
      </c>
      <c r="D35" s="3">
        <f>D34-C34</f>
        <v/>
      </c>
      <c r="E35" s="3">
        <f>E34-D34</f>
        <v/>
      </c>
      <c r="F35" s="3">
        <f>F34-E34</f>
        <v/>
      </c>
      <c r="G35" s="3">
        <f>G34-F34</f>
        <v/>
      </c>
    </row>
    <row r="36">
      <c r="A36" t="inlineStr">
        <is>
          <t>Operating cash flow</t>
        </is>
      </c>
      <c r="C36" s="3">
        <f>C24-C30-C35</f>
        <v/>
      </c>
      <c r="D36" s="3">
        <f>D24-D30-D35</f>
        <v/>
      </c>
      <c r="E36" s="3">
        <f>E24-E30-E35</f>
        <v/>
      </c>
      <c r="F36" s="3">
        <f>F24-F30-F35</f>
        <v/>
      </c>
      <c r="G36" s="3">
        <f>G24-G30-G35</f>
        <v/>
      </c>
    </row>
    <row r="37">
      <c r="A37" s="18" t="inlineStr">
        <is>
          <t>Free cash flow</t>
        </is>
      </c>
      <c r="C37" s="3">
        <f>C36-C33</f>
        <v/>
      </c>
      <c r="D37" s="3">
        <f>D36-D33</f>
        <v/>
      </c>
      <c r="E37" s="3">
        <f>E36-E33</f>
        <v/>
      </c>
      <c r="F37" s="3">
        <f>F36-F33</f>
        <v/>
      </c>
      <c r="G37" s="3">
        <f>G36-G33</f>
        <v/>
      </c>
    </row>
    <row r="38">
      <c r="A38" t="inlineStr">
        <is>
          <t>Cumulative FCF after investment</t>
        </is>
      </c>
      <c r="C38" s="3">
        <f>-INDEX(Capex!$C$15:$E$15,1,Inputs!$E$17)+C37</f>
        <v/>
      </c>
      <c r="D38" s="3">
        <f>C38+D37</f>
        <v/>
      </c>
      <c r="E38" s="3">
        <f>D38+E37</f>
        <v/>
      </c>
      <c r="F38" s="3">
        <f>E38+F37</f>
        <v/>
      </c>
      <c r="G38" s="3">
        <f>F38+G37</f>
        <v/>
      </c>
    </row>
    <row r="40">
      <c r="A40" s="18" t="inlineStr">
        <is>
          <t>Total investment (capex + pre-opening)</t>
        </is>
      </c>
      <c r="C40" s="3">
        <f>INDEX(Capex!$C$15:$E$15,1,Inputs!$E$17)</f>
        <v/>
      </c>
    </row>
    <row r="41">
      <c r="A41" s="18" t="inlineStr">
        <is>
          <t>Total investment (USD)</t>
        </is>
      </c>
      <c r="C41" s="4">
        <f>INDEX(Capex!$C$15:$E$15,1,Inputs!$E$17)/Inputs!$D$7</f>
        <v/>
      </c>
    </row>
    <row r="42">
      <c r="A42" s="18" t="inlineStr">
        <is>
          <t>Payback (months from opening)</t>
        </is>
      </c>
      <c r="C42" s="3">
        <f>IF(MIN(M_Cons!$C$32:$BJ$32)&gt;60,"&gt; 60",MIN(M_Cons!$C$32:$BJ$32))</f>
        <v/>
      </c>
    </row>
    <row r="43">
      <c r="A43" s="18" t="inlineStr">
        <is>
          <t>Residual value end-Y5 (book value of fixed assets)</t>
        </is>
      </c>
      <c r="C43" s="3">
        <f>INDEX(Capex!$C$19:$E$19,1,Inputs!$E$17)*MAX(0,1-5/MAX(Inputs!$E$88,0.0001))*(Inputs!$E$88&gt;0)+INDEX(Capex!$C$20:$E$20,1,Inputs!$E$17)*MAX(0,1-5/MAX(Inputs!$E$89,0.0001))*(Inputs!$E$89&gt;0)+INDEX(Capex!$C$21:$E$21,1,Inputs!$E$17)*MAX(0,1-5/MAX(Inputs!$E$90,0.0001))*(Inputs!$E$90&gt;0)+INDEX(Capex!$C$22:$E$22,1,Inputs!$E$17)*MAX(0,1-5/MAX(Inputs!$E$91,0.0001))*(Inputs!$E$91&gt;0)+INDEX(Capex!$C$23:$E$23,1,Inputs!$E$17)*MAX(0,1-5/MAX(Inputs!$E$92,0.0001))*(Inputs!$E$92&gt;0)+INDEX(Capex!$C$24:$E$24,1,Inputs!$E$17)*MAX(0,1-5/MAX(Inputs!$E$93,0.0001))*(Inputs!$E$93&gt;0)+INDEX(Capex!$C$25:$E$25,1,Inputs!$E$17)*MAX(0,1-5/MAX(Inputs!$E$94,0.0001))*(Inputs!$E$94&gt;0)</f>
        <v/>
      </c>
    </row>
    <row r="44">
      <c r="A44" s="18" t="inlineStr">
        <is>
          <t>NPV @ discount rate (5 yrs + residual)</t>
        </is>
      </c>
      <c r="C44" s="3">
        <f>C50+NPV(Inputs!$D$12,D50:H50)</f>
        <v/>
      </c>
    </row>
    <row r="45">
      <c r="A45" s="18" t="inlineStr">
        <is>
          <t>IRR (5 yrs + residual)</t>
        </is>
      </c>
      <c r="C45" s="6">
        <f>IFERROR(IRR(C50:H50),"n/a")</f>
        <v/>
      </c>
    </row>
    <row r="46">
      <c r="A46" s="18" t="inlineStr">
        <is>
          <t>IRR (5 yrs, no residual)</t>
        </is>
      </c>
      <c r="C46" s="6">
        <f>IFERROR(IRR(C51:H51),"n/a")</f>
        <v/>
      </c>
    </row>
    <row r="47">
      <c r="A47" s="18" t="inlineStr">
        <is>
          <t>ROIC Year 3 (NOPAT / investment)</t>
        </is>
      </c>
      <c r="C47" s="6">
        <f>(E27-E30)/INDEX(Capex!$C$15:$E$15,1,Inputs!$E$17)</f>
        <v/>
      </c>
    </row>
    <row r="48">
      <c r="A48" s="18" t="inlineStr">
        <is>
          <t>Year-3 EBITDA (USD)</t>
        </is>
      </c>
      <c r="C48" s="4">
        <f>E24/Inputs!$D$7</f>
        <v/>
      </c>
    </row>
    <row r="50">
      <c r="A50" t="inlineStr">
        <is>
          <t>Cash flows for IRR: Y0 … Y5 (+ residual in Y5)</t>
        </is>
      </c>
      <c r="C50" s="3">
        <f>-INDEX(Capex!$C$15:$E$15,1,Inputs!$E$17)</f>
        <v/>
      </c>
      <c r="D50" s="3">
        <f>C37</f>
        <v/>
      </c>
      <c r="E50" s="3">
        <f>D37</f>
        <v/>
      </c>
      <c r="F50" s="3">
        <f>E37</f>
        <v/>
      </c>
      <c r="G50" s="3">
        <f>F37</f>
        <v/>
      </c>
      <c r="H50" s="3">
        <f>G37+C43</f>
        <v/>
      </c>
    </row>
    <row r="51">
      <c r="A51" t="inlineStr">
        <is>
          <t>Cash flows (no residual)</t>
        </is>
      </c>
      <c r="C51" s="3">
        <f>-INDEX(Capex!$C$15:$E$15,1,Inputs!$E$17)</f>
        <v/>
      </c>
      <c r="D51" s="3">
        <f>C37</f>
        <v/>
      </c>
      <c r="E51" s="3">
        <f>D37</f>
        <v/>
      </c>
      <c r="F51" s="3">
        <f>E37</f>
        <v/>
      </c>
      <c r="G51" s="3">
        <f>F37</f>
        <v/>
      </c>
      <c r="H51" s="3">
        <f>G37</f>
        <v/>
      </c>
    </row>
    <row r="54">
      <c r="A54" s="16" t="inlineStr">
        <is>
          <t>BASE SCENARIO</t>
        </is>
      </c>
      <c r="C54" s="17" t="inlineStr">
        <is>
          <t>Year 1</t>
        </is>
      </c>
      <c r="D54" s="17" t="inlineStr">
        <is>
          <t>Year 2</t>
        </is>
      </c>
      <c r="E54" s="17" t="inlineStr">
        <is>
          <t>Year 3</t>
        </is>
      </c>
      <c r="F54" s="17" t="inlineStr">
        <is>
          <t>Year 4</t>
        </is>
      </c>
      <c r="G54" s="17" t="inlineStr">
        <is>
          <t>Year 5</t>
        </is>
      </c>
    </row>
    <row r="55">
      <c r="A55" t="inlineStr">
        <is>
          <t>Transactions (year)</t>
        </is>
      </c>
      <c r="C55" s="5">
        <f>SUMPRODUCT((M_Base!$C$4:$BJ$4=1)*M_Base!$C$11:$BJ$11*M_Base!$C$6:$BJ$6)</f>
        <v/>
      </c>
      <c r="D55" s="5">
        <f>SUMPRODUCT((M_Base!$C$4:$BJ$4=2)*M_Base!$C$11:$BJ$11*M_Base!$C$6:$BJ$6)</f>
        <v/>
      </c>
      <c r="E55" s="5">
        <f>SUMPRODUCT((M_Base!$C$4:$BJ$4=3)*M_Base!$C$11:$BJ$11*M_Base!$C$6:$BJ$6)</f>
        <v/>
      </c>
      <c r="F55" s="5">
        <f>SUMPRODUCT((M_Base!$C$4:$BJ$4=4)*M_Base!$C$11:$BJ$11*M_Base!$C$6:$BJ$6)</f>
        <v/>
      </c>
      <c r="G55" s="5">
        <f>SUMPRODUCT((M_Base!$C$4:$BJ$4=5)*M_Base!$C$11:$BJ$11*M_Base!$C$6:$BJ$6)</f>
        <v/>
      </c>
    </row>
    <row r="56">
      <c r="A56" t="inlineStr">
        <is>
          <t>Transactions / day (avg)</t>
        </is>
      </c>
      <c r="C56" s="5">
        <f>C55/SUMIF(M_Base!$C$4:$BJ$4,1,M_Base!$C$6:$BJ$6)</f>
        <v/>
      </c>
      <c r="D56" s="5">
        <f>D55/SUMIF(M_Base!$C$4:$BJ$4,2,M_Base!$C$6:$BJ$6)</f>
        <v/>
      </c>
      <c r="E56" s="5">
        <f>E55/SUMIF(M_Base!$C$4:$BJ$4,3,M_Base!$C$6:$BJ$6)</f>
        <v/>
      </c>
      <c r="F56" s="5">
        <f>F55/SUMIF(M_Base!$C$4:$BJ$4,4,M_Base!$C$6:$BJ$6)</f>
        <v/>
      </c>
      <c r="G56" s="5">
        <f>G55/SUMIF(M_Base!$C$4:$BJ$4,5,M_Base!$C$6:$BJ$6)</f>
        <v/>
      </c>
    </row>
    <row r="57">
      <c r="A57" t="inlineStr">
        <is>
          <t>Average ticket (AMD incl. VAT)</t>
        </is>
      </c>
      <c r="C57" s="5">
        <f>C58/C55</f>
        <v/>
      </c>
      <c r="D57" s="5">
        <f>D58/D55</f>
        <v/>
      </c>
      <c r="E57" s="5">
        <f>E58/E55</f>
        <v/>
      </c>
      <c r="F57" s="5">
        <f>F58/F55</f>
        <v/>
      </c>
      <c r="G57" s="5">
        <f>G58/G55</f>
        <v/>
      </c>
    </row>
    <row r="58">
      <c r="A58" t="inlineStr">
        <is>
          <t>Gross sales (incl. VAT)</t>
        </is>
      </c>
      <c r="C58" s="3">
        <f>SUMIF(M_Base!$C$4:$BJ$4,1,M_Base!$C$13:$BJ$13)</f>
        <v/>
      </c>
      <c r="D58" s="3">
        <f>SUMIF(M_Base!$C$4:$BJ$4,2,M_Base!$C$13:$BJ$13)</f>
        <v/>
      </c>
      <c r="E58" s="3">
        <f>SUMIF(M_Base!$C$4:$BJ$4,3,M_Base!$C$13:$BJ$13)</f>
        <v/>
      </c>
      <c r="F58" s="3">
        <f>SUMIF(M_Base!$C$4:$BJ$4,4,M_Base!$C$13:$BJ$13)</f>
        <v/>
      </c>
      <c r="G58" s="3">
        <f>SUMIF(M_Base!$C$4:$BJ$4,5,M_Base!$C$13:$BJ$13)</f>
        <v/>
      </c>
    </row>
    <row r="59">
      <c r="A59" s="18" t="inlineStr">
        <is>
          <t>Net sales (excl. VAT)</t>
        </is>
      </c>
      <c r="C59" s="3">
        <f>SUMIF(M_Base!$C$4:$BJ$4,1,M_Base!$C$14:$BJ$14)</f>
        <v/>
      </c>
      <c r="D59" s="3">
        <f>SUMIF(M_Base!$C$4:$BJ$4,2,M_Base!$C$14:$BJ$14)</f>
        <v/>
      </c>
      <c r="E59" s="3">
        <f>SUMIF(M_Base!$C$4:$BJ$4,3,M_Base!$C$14:$BJ$14)</f>
        <v/>
      </c>
      <c r="F59" s="3">
        <f>SUMIF(M_Base!$C$4:$BJ$4,4,M_Base!$C$14:$BJ$14)</f>
        <v/>
      </c>
      <c r="G59" s="3">
        <f>SUMIF(M_Base!$C$4:$BJ$4,5,M_Base!$C$14:$BJ$14)</f>
        <v/>
      </c>
    </row>
    <row r="60">
      <c r="A60" t="inlineStr">
        <is>
          <t>COGS + waste</t>
        </is>
      </c>
      <c r="C60" s="3">
        <f>SUMIF(M_Base!$C$4:$BJ$4,1,M_Base!$C$15:$BJ$15)</f>
        <v/>
      </c>
      <c r="D60" s="3">
        <f>SUMIF(M_Base!$C$4:$BJ$4,2,M_Base!$C$15:$BJ$15)</f>
        <v/>
      </c>
      <c r="E60" s="3">
        <f>SUMIF(M_Base!$C$4:$BJ$4,3,M_Base!$C$15:$BJ$15)</f>
        <v/>
      </c>
      <c r="F60" s="3">
        <f>SUMIF(M_Base!$C$4:$BJ$4,4,M_Base!$C$15:$BJ$15)</f>
        <v/>
      </c>
      <c r="G60" s="3">
        <f>SUMIF(M_Base!$C$4:$BJ$4,5,M_Base!$C$15:$BJ$15)</f>
        <v/>
      </c>
    </row>
    <row r="61">
      <c r="A61" t="inlineStr">
        <is>
          <t>Gross profit</t>
        </is>
      </c>
      <c r="C61" s="3">
        <f>C59-C60</f>
        <v/>
      </c>
      <c r="D61" s="3">
        <f>D59-D60</f>
        <v/>
      </c>
      <c r="E61" s="3">
        <f>E59-E60</f>
        <v/>
      </c>
      <c r="F61" s="3">
        <f>F59-F60</f>
        <v/>
      </c>
      <c r="G61" s="3">
        <f>G59-G60</f>
        <v/>
      </c>
    </row>
    <row r="62">
      <c r="A62" t="inlineStr">
        <is>
          <t>Gross margin %</t>
        </is>
      </c>
      <c r="C62" s="6">
        <f>IFERROR(C61/C59,0)</f>
        <v/>
      </c>
      <c r="D62" s="6">
        <f>IFERROR(D61/D59,0)</f>
        <v/>
      </c>
      <c r="E62" s="6">
        <f>IFERROR(E61/E59,0)</f>
        <v/>
      </c>
      <c r="F62" s="6">
        <f>IFERROR(F61/F59,0)</f>
        <v/>
      </c>
      <c r="G62" s="6">
        <f>IFERROR(G61/G59,0)</f>
        <v/>
      </c>
    </row>
    <row r="63">
      <c r="A63" t="inlineStr">
        <is>
          <t>Labour</t>
        </is>
      </c>
      <c r="C63" s="3">
        <f>SUMIF(M_Base!$C$4:$BJ$4,1,M_Base!$C$23:$BJ$23)</f>
        <v/>
      </c>
      <c r="D63" s="3">
        <f>SUMIF(M_Base!$C$4:$BJ$4,2,M_Base!$C$23:$BJ$23)</f>
        <v/>
      </c>
      <c r="E63" s="3">
        <f>SUMIF(M_Base!$C$4:$BJ$4,3,M_Base!$C$23:$BJ$23)</f>
        <v/>
      </c>
      <c r="F63" s="3">
        <f>SUMIF(M_Base!$C$4:$BJ$4,4,M_Base!$C$23:$BJ$23)</f>
        <v/>
      </c>
      <c r="G63" s="3">
        <f>SUMIF(M_Base!$C$4:$BJ$4,5,M_Base!$C$23:$BJ$23)</f>
        <v/>
      </c>
    </row>
    <row r="64">
      <c r="A64" t="inlineStr">
        <is>
          <t>Ground rent</t>
        </is>
      </c>
      <c r="C64" s="3">
        <f>SUMIF(M_Base!$C$4:$BJ$4,1,M_Base!$C$24:$BJ$24)</f>
        <v/>
      </c>
      <c r="D64" s="3">
        <f>SUMIF(M_Base!$C$4:$BJ$4,2,M_Base!$C$24:$BJ$24)</f>
        <v/>
      </c>
      <c r="E64" s="3">
        <f>SUMIF(M_Base!$C$4:$BJ$4,3,M_Base!$C$24:$BJ$24)</f>
        <v/>
      </c>
      <c r="F64" s="3">
        <f>SUMIF(M_Base!$C$4:$BJ$4,4,M_Base!$C$24:$BJ$24)</f>
        <v/>
      </c>
      <c r="G64" s="3">
        <f>SUMIF(M_Base!$C$4:$BJ$4,5,M_Base!$C$24:$BJ$24)</f>
        <v/>
      </c>
    </row>
    <row r="65">
      <c r="A65" t="inlineStr">
        <is>
          <t>Utilities</t>
        </is>
      </c>
      <c r="C65" s="3">
        <f>SUMIF(M_Base!$C$4:$BJ$4,1,M_Base!$C$20:$BJ$20)</f>
        <v/>
      </c>
      <c r="D65" s="3">
        <f>SUMIF(M_Base!$C$4:$BJ$4,2,M_Base!$C$20:$BJ$20)</f>
        <v/>
      </c>
      <c r="E65" s="3">
        <f>SUMIF(M_Base!$C$4:$BJ$4,3,M_Base!$C$20:$BJ$20)</f>
        <v/>
      </c>
      <c r="F65" s="3">
        <f>SUMIF(M_Base!$C$4:$BJ$4,4,M_Base!$C$20:$BJ$20)</f>
        <v/>
      </c>
      <c r="G65" s="3">
        <f>SUMIF(M_Base!$C$4:$BJ$4,5,M_Base!$C$20:$BJ$20)</f>
        <v/>
      </c>
    </row>
    <row r="66">
      <c r="A66" t="inlineStr">
        <is>
          <t>Card fees</t>
        </is>
      </c>
      <c r="C66" s="3">
        <f>SUMIF(M_Base!$C$4:$BJ$4,1,M_Base!$C$16:$BJ$16)</f>
        <v/>
      </c>
      <c r="D66" s="3">
        <f>SUMIF(M_Base!$C$4:$BJ$4,2,M_Base!$C$16:$BJ$16)</f>
        <v/>
      </c>
      <c r="E66" s="3">
        <f>SUMIF(M_Base!$C$4:$BJ$4,3,M_Base!$C$16:$BJ$16)</f>
        <v/>
      </c>
      <c r="F66" s="3">
        <f>SUMIF(M_Base!$C$4:$BJ$4,4,M_Base!$C$16:$BJ$16)</f>
        <v/>
      </c>
      <c r="G66" s="3">
        <f>SUMIF(M_Base!$C$4:$BJ$4,5,M_Base!$C$16:$BJ$16)</f>
        <v/>
      </c>
    </row>
    <row r="67">
      <c r="A67" t="inlineStr">
        <is>
          <t>Marketing</t>
        </is>
      </c>
      <c r="C67" s="3">
        <f>SUMIF(M_Base!$C$4:$BJ$4,1,M_Base!$C$17:$BJ$17)</f>
        <v/>
      </c>
      <c r="D67" s="3">
        <f>SUMIF(M_Base!$C$4:$BJ$4,2,M_Base!$C$17:$BJ$17)</f>
        <v/>
      </c>
      <c r="E67" s="3">
        <f>SUMIF(M_Base!$C$4:$BJ$4,3,M_Base!$C$17:$BJ$17)</f>
        <v/>
      </c>
      <c r="F67" s="3">
        <f>SUMIF(M_Base!$C$4:$BJ$4,4,M_Base!$C$17:$BJ$17)</f>
        <v/>
      </c>
      <c r="G67" s="3">
        <f>SUMIF(M_Base!$C$4:$BJ$4,5,M_Base!$C$17:$BJ$17)</f>
        <v/>
      </c>
    </row>
    <row r="68">
      <c r="A68" t="inlineStr">
        <is>
          <t>Repairs &amp; maintenance</t>
        </is>
      </c>
      <c r="C68" s="3">
        <f>SUMIF(M_Base!$C$4:$BJ$4,1,M_Base!$C$18:$BJ$18)</f>
        <v/>
      </c>
      <c r="D68" s="3">
        <f>SUMIF(M_Base!$C$4:$BJ$4,2,M_Base!$C$18:$BJ$18)</f>
        <v/>
      </c>
      <c r="E68" s="3">
        <f>SUMIF(M_Base!$C$4:$BJ$4,3,M_Base!$C$18:$BJ$18)</f>
        <v/>
      </c>
      <c r="F68" s="3">
        <f>SUMIF(M_Base!$C$4:$BJ$4,4,M_Base!$C$18:$BJ$18)</f>
        <v/>
      </c>
      <c r="G68" s="3">
        <f>SUMIF(M_Base!$C$4:$BJ$4,5,M_Base!$C$18:$BJ$18)</f>
        <v/>
      </c>
    </row>
    <row r="69">
      <c r="A69" t="inlineStr">
        <is>
          <t>Other variable</t>
        </is>
      </c>
      <c r="C69" s="3">
        <f>SUMIF(M_Base!$C$4:$BJ$4,1,M_Base!$C$19:$BJ$19)</f>
        <v/>
      </c>
      <c r="D69" s="3">
        <f>SUMIF(M_Base!$C$4:$BJ$4,2,M_Base!$C$19:$BJ$19)</f>
        <v/>
      </c>
      <c r="E69" s="3">
        <f>SUMIF(M_Base!$C$4:$BJ$4,3,M_Base!$C$19:$BJ$19)</f>
        <v/>
      </c>
      <c r="F69" s="3">
        <f>SUMIF(M_Base!$C$4:$BJ$4,4,M_Base!$C$19:$BJ$19)</f>
        <v/>
      </c>
      <c r="G69" s="3">
        <f>SUMIF(M_Base!$C$4:$BJ$4,5,M_Base!$C$19:$BJ$19)</f>
        <v/>
      </c>
    </row>
    <row r="70">
      <c r="A70" t="inlineStr">
        <is>
          <t>Other fixed + land tax</t>
        </is>
      </c>
      <c r="C70" s="3">
        <f>SUMIF(M_Base!$C$4:$BJ$4,1,M_Base!$C$25:$BJ$25)</f>
        <v/>
      </c>
      <c r="D70" s="3">
        <f>SUMIF(M_Base!$C$4:$BJ$4,2,M_Base!$C$25:$BJ$25)</f>
        <v/>
      </c>
      <c r="E70" s="3">
        <f>SUMIF(M_Base!$C$4:$BJ$4,3,M_Base!$C$25:$BJ$25)</f>
        <v/>
      </c>
      <c r="F70" s="3">
        <f>SUMIF(M_Base!$C$4:$BJ$4,4,M_Base!$C$25:$BJ$25)</f>
        <v/>
      </c>
      <c r="G70" s="3">
        <f>SUMIF(M_Base!$C$4:$BJ$4,5,M_Base!$C$25:$BJ$25)</f>
        <v/>
      </c>
    </row>
    <row r="71">
      <c r="A71" t="inlineStr">
        <is>
          <t>Total operating costs</t>
        </is>
      </c>
      <c r="C71" s="3">
        <f>SUMIF(M_Base!$C$4:$BJ$4,1,M_Base!$C$26:$BJ$26)</f>
        <v/>
      </c>
      <c r="D71" s="3">
        <f>SUMIF(M_Base!$C$4:$BJ$4,2,M_Base!$C$26:$BJ$26)</f>
        <v/>
      </c>
      <c r="E71" s="3">
        <f>SUMIF(M_Base!$C$4:$BJ$4,3,M_Base!$C$26:$BJ$26)</f>
        <v/>
      </c>
      <c r="F71" s="3">
        <f>SUMIF(M_Base!$C$4:$BJ$4,4,M_Base!$C$26:$BJ$26)</f>
        <v/>
      </c>
      <c r="G71" s="3">
        <f>SUMIF(M_Base!$C$4:$BJ$4,5,M_Base!$C$26:$BJ$26)</f>
        <v/>
      </c>
    </row>
    <row r="72">
      <c r="A72" t="inlineStr">
        <is>
          <t>EBITDA before turnover tax</t>
        </is>
      </c>
      <c r="C72" s="3">
        <f>SUMIF(M_Base!$C$4:$BJ$4,1,M_Base!$C$27:$BJ$27)</f>
        <v/>
      </c>
      <c r="D72" s="3">
        <f>SUMIF(M_Base!$C$4:$BJ$4,2,M_Base!$C$27:$BJ$27)</f>
        <v/>
      </c>
      <c r="E72" s="3">
        <f>SUMIF(M_Base!$C$4:$BJ$4,3,M_Base!$C$27:$BJ$27)</f>
        <v/>
      </c>
      <c r="F72" s="3">
        <f>SUMIF(M_Base!$C$4:$BJ$4,4,M_Base!$C$27:$BJ$27)</f>
        <v/>
      </c>
      <c r="G72" s="3">
        <f>SUMIF(M_Base!$C$4:$BJ$4,5,M_Base!$C$27:$BJ$27)</f>
        <v/>
      </c>
    </row>
    <row r="73">
      <c r="A73" t="inlineStr">
        <is>
          <t>TT deduction credit (incl. carried)</t>
        </is>
      </c>
      <c r="C73" s="3">
        <f>Inputs!$E$13*(Inputs!$E$15*(C71-C68)+C79)</f>
        <v/>
      </c>
      <c r="D73" s="3">
        <f>Inputs!$E$13*(Inputs!$E$15*(D71-D68)+D79)</f>
        <v/>
      </c>
      <c r="E73" s="3">
        <f>Inputs!$E$13*(Inputs!$E$15*(E71-E68)+E79)</f>
        <v/>
      </c>
      <c r="F73" s="3">
        <f>Inputs!$E$13*(Inputs!$E$15*(F71-F68)+F79)</f>
        <v/>
      </c>
      <c r="G73" s="3">
        <f>Inputs!$E$13*(Inputs!$E$15*(G71-G68)+G79)</f>
        <v/>
      </c>
    </row>
    <row r="74">
      <c r="A74" t="inlineStr">
        <is>
          <t>Turnover tax (catering TT)</t>
        </is>
      </c>
      <c r="C74" s="3">
        <f>Inputs!$E$13*MAX(Inputs!$E$14*C58-C73,Inputs!$E$16*C58)</f>
        <v/>
      </c>
      <c r="D74" s="3">
        <f>Inputs!$E$13*MAX(Inputs!$E$14*D58-D73,Inputs!$E$16*D58)</f>
        <v/>
      </c>
      <c r="E74" s="3">
        <f>Inputs!$E$13*MAX(Inputs!$E$14*E58-E73,Inputs!$E$16*E58)</f>
        <v/>
      </c>
      <c r="F74" s="3">
        <f>Inputs!$E$13*MAX(Inputs!$E$14*F58-F73,Inputs!$E$16*F58)</f>
        <v/>
      </c>
      <c r="G74" s="3">
        <f>Inputs!$E$13*MAX(Inputs!$E$14*G58-G73,Inputs!$E$16*G58)</f>
        <v/>
      </c>
    </row>
    <row r="75">
      <c r="A75" s="18" t="inlineStr">
        <is>
          <t>EBITDA</t>
        </is>
      </c>
      <c r="C75" s="3">
        <f>C72-C74</f>
        <v/>
      </c>
      <c r="D75" s="3">
        <f>D72-D74</f>
        <v/>
      </c>
      <c r="E75" s="3">
        <f>E72-E74</f>
        <v/>
      </c>
      <c r="F75" s="3">
        <f>F72-F74</f>
        <v/>
      </c>
      <c r="G75" s="3">
        <f>G72-G74</f>
        <v/>
      </c>
    </row>
    <row r="76">
      <c r="A76" t="inlineStr">
        <is>
          <t>EBITDA margin %</t>
        </is>
      </c>
      <c r="C76" s="6">
        <f>IFERROR(C75/C59,0)</f>
        <v/>
      </c>
      <c r="D76" s="6">
        <f>IFERROR(D75/D59,0)</f>
        <v/>
      </c>
      <c r="E76" s="6">
        <f>IFERROR(E75/E59,0)</f>
        <v/>
      </c>
      <c r="F76" s="6">
        <f>IFERROR(F75/F59,0)</f>
        <v/>
      </c>
      <c r="G76" s="6">
        <f>IFERROR(G75/G59,0)</f>
        <v/>
      </c>
    </row>
    <row r="77">
      <c r="A77" t="inlineStr">
        <is>
          <t>Depreciation</t>
        </is>
      </c>
      <c r="C77" s="3">
        <f>SUMIF(M_Base!$C$4:$BJ$4,1,M_Base!$C$28:$BJ$28)</f>
        <v/>
      </c>
      <c r="D77" s="3">
        <f>SUMIF(M_Base!$C$4:$BJ$4,2,M_Base!$C$28:$BJ$28)</f>
        <v/>
      </c>
      <c r="E77" s="3">
        <f>SUMIF(M_Base!$C$4:$BJ$4,3,M_Base!$C$28:$BJ$28)</f>
        <v/>
      </c>
      <c r="F77" s="3">
        <f>SUMIF(M_Base!$C$4:$BJ$4,4,M_Base!$C$28:$BJ$28)</f>
        <v/>
      </c>
      <c r="G77" s="3">
        <f>SUMIF(M_Base!$C$4:$BJ$4,5,M_Base!$C$28:$BJ$28)</f>
        <v/>
      </c>
    </row>
    <row r="78">
      <c r="A78" t="inlineStr">
        <is>
          <t>EBIT</t>
        </is>
      </c>
      <c r="C78" s="3">
        <f>C75-C77</f>
        <v/>
      </c>
      <c r="D78" s="3">
        <f>D75-D77</f>
        <v/>
      </c>
      <c r="E78" s="3">
        <f>E75-E77</f>
        <v/>
      </c>
      <c r="F78" s="3">
        <f>F75-F77</f>
        <v/>
      </c>
      <c r="G78" s="3">
        <f>G75-G77</f>
        <v/>
      </c>
    </row>
    <row r="79">
      <c r="A79" t="inlineStr">
        <is>
          <t>Loss carried forward (opening)</t>
        </is>
      </c>
      <c r="C79" s="3">
        <f>0</f>
        <v/>
      </c>
      <c r="D79" s="3">
        <f>IF(Inputs!$E$13=1,MAX(0,C73-(Inputs!$E$14-Inputs!$E$16)*C58),MAX(0,C79-C78))</f>
        <v/>
      </c>
      <c r="E79" s="3">
        <f>IF(Inputs!$E$13=1,MAX(0,D73-(Inputs!$E$14-Inputs!$E$16)*D58),MAX(0,D79-D78))</f>
        <v/>
      </c>
      <c r="F79" s="3">
        <f>IF(Inputs!$E$13=1,MAX(0,E73-(Inputs!$E$14-Inputs!$E$16)*E58),MAX(0,E79-E78))</f>
        <v/>
      </c>
      <c r="G79" s="3">
        <f>IF(Inputs!$E$13=1,MAX(0,F73-(Inputs!$E$14-Inputs!$E$16)*F58),MAX(0,F79-F78))</f>
        <v/>
      </c>
    </row>
    <row r="80">
      <c r="A80" t="inlineStr">
        <is>
          <t>Taxable profit</t>
        </is>
      </c>
      <c r="C80" s="3">
        <f>(1-Inputs!$E$13)*MAX(0,C78-C79)</f>
        <v/>
      </c>
      <c r="D80" s="3">
        <f>(1-Inputs!$E$13)*MAX(0,D78-D79)</f>
        <v/>
      </c>
      <c r="E80" s="3">
        <f>(1-Inputs!$E$13)*MAX(0,E78-E79)</f>
        <v/>
      </c>
      <c r="F80" s="3">
        <f>(1-Inputs!$E$13)*MAX(0,F78-F79)</f>
        <v/>
      </c>
      <c r="G80" s="3">
        <f>(1-Inputs!$E$13)*MAX(0,G78-G79)</f>
        <v/>
      </c>
    </row>
    <row r="81">
      <c r="A81" t="inlineStr">
        <is>
          <t>Profit tax</t>
        </is>
      </c>
      <c r="C81" s="3">
        <f>C80*Inputs!$E$11</f>
        <v/>
      </c>
      <c r="D81" s="3">
        <f>D80*Inputs!$E$11</f>
        <v/>
      </c>
      <c r="E81" s="3">
        <f>E80*Inputs!$E$11</f>
        <v/>
      </c>
      <c r="F81" s="3">
        <f>F80*Inputs!$E$11</f>
        <v/>
      </c>
      <c r="G81" s="3">
        <f>G80*Inputs!$E$11</f>
        <v/>
      </c>
    </row>
    <row r="82">
      <c r="A82" s="18" t="inlineStr">
        <is>
          <t>Net income</t>
        </is>
      </c>
      <c r="C82" s="3">
        <f>C78-C81</f>
        <v/>
      </c>
      <c r="D82" s="3">
        <f>D78-D81</f>
        <v/>
      </c>
      <c r="E82" s="3">
        <f>E78-E81</f>
        <v/>
      </c>
      <c r="F82" s="3">
        <f>F78-F81</f>
        <v/>
      </c>
      <c r="G82" s="3">
        <f>G78-G81</f>
        <v/>
      </c>
    </row>
    <row r="83">
      <c r="A83" t="inlineStr">
        <is>
          <t>Net margin %</t>
        </is>
      </c>
      <c r="C83" s="6">
        <f>IFERROR(C82/C59,0)</f>
        <v/>
      </c>
      <c r="D83" s="6">
        <f>IFERROR(D82/D59,0)</f>
        <v/>
      </c>
      <c r="E83" s="6">
        <f>IFERROR(E82/E59,0)</f>
        <v/>
      </c>
      <c r="F83" s="6">
        <f>IFERROR(F82/F59,0)</f>
        <v/>
      </c>
      <c r="G83" s="6">
        <f>IFERROR(G82/G59,0)</f>
        <v/>
      </c>
    </row>
    <row r="84">
      <c r="A84" t="inlineStr">
        <is>
          <t>Maintenance capex</t>
        </is>
      </c>
      <c r="C84" s="3">
        <f>0</f>
        <v/>
      </c>
      <c r="D84" s="3">
        <f>D59*Inputs!$E$76</f>
        <v/>
      </c>
      <c r="E84" s="3">
        <f>E59*Inputs!$E$76</f>
        <v/>
      </c>
      <c r="F84" s="3">
        <f>F59*Inputs!$E$76</f>
        <v/>
      </c>
      <c r="G84" s="3">
        <f>G59*Inputs!$E$76</f>
        <v/>
      </c>
    </row>
    <row r="85">
      <c r="A85" t="inlineStr">
        <is>
          <t>Working capital (closing)</t>
        </is>
      </c>
      <c r="C85" s="3">
        <f>C60*Inputs!$E$77/365</f>
        <v/>
      </c>
      <c r="D85" s="3">
        <f>D60*Inputs!$E$77/365</f>
        <v/>
      </c>
      <c r="E85" s="3">
        <f>E60*Inputs!$E$77/365</f>
        <v/>
      </c>
      <c r="F85" s="3">
        <f>F60*Inputs!$E$77/365</f>
        <v/>
      </c>
      <c r="G85" s="3">
        <f>G60*Inputs!$E$77/365</f>
        <v/>
      </c>
    </row>
    <row r="86">
      <c r="A86" t="inlineStr">
        <is>
          <t>Δ Working capital</t>
        </is>
      </c>
      <c r="C86" s="3">
        <f>C85</f>
        <v/>
      </c>
      <c r="D86" s="3">
        <f>D85-C85</f>
        <v/>
      </c>
      <c r="E86" s="3">
        <f>E85-D85</f>
        <v/>
      </c>
      <c r="F86" s="3">
        <f>F85-E85</f>
        <v/>
      </c>
      <c r="G86" s="3">
        <f>G85-F85</f>
        <v/>
      </c>
    </row>
    <row r="87">
      <c r="A87" t="inlineStr">
        <is>
          <t>Operating cash flow</t>
        </is>
      </c>
      <c r="C87" s="3">
        <f>C75-C81-C86</f>
        <v/>
      </c>
      <c r="D87" s="3">
        <f>D75-D81-D86</f>
        <v/>
      </c>
      <c r="E87" s="3">
        <f>E75-E81-E86</f>
        <v/>
      </c>
      <c r="F87" s="3">
        <f>F75-F81-F86</f>
        <v/>
      </c>
      <c r="G87" s="3">
        <f>G75-G81-G86</f>
        <v/>
      </c>
    </row>
    <row r="88">
      <c r="A88" s="18" t="inlineStr">
        <is>
          <t>Free cash flow</t>
        </is>
      </c>
      <c r="C88" s="3">
        <f>C87-C84</f>
        <v/>
      </c>
      <c r="D88" s="3">
        <f>D87-D84</f>
        <v/>
      </c>
      <c r="E88" s="3">
        <f>E87-E84</f>
        <v/>
      </c>
      <c r="F88" s="3">
        <f>F87-F84</f>
        <v/>
      </c>
      <c r="G88" s="3">
        <f>G87-G84</f>
        <v/>
      </c>
    </row>
    <row r="89">
      <c r="A89" t="inlineStr">
        <is>
          <t>Cumulative FCF after investment</t>
        </is>
      </c>
      <c r="C89" s="3">
        <f>-INDEX(Capex!$C$15:$E$15,1,Inputs!$E$17)+C88</f>
        <v/>
      </c>
      <c r="D89" s="3">
        <f>C89+D88</f>
        <v/>
      </c>
      <c r="E89" s="3">
        <f>D89+E88</f>
        <v/>
      </c>
      <c r="F89" s="3">
        <f>E89+F88</f>
        <v/>
      </c>
      <c r="G89" s="3">
        <f>F89+G88</f>
        <v/>
      </c>
    </row>
    <row r="91">
      <c r="A91" s="18" t="inlineStr">
        <is>
          <t>Total investment (capex + pre-opening)</t>
        </is>
      </c>
      <c r="C91" s="3">
        <f>INDEX(Capex!$C$15:$E$15,1,Inputs!$E$17)</f>
        <v/>
      </c>
    </row>
    <row r="92">
      <c r="A92" s="18" t="inlineStr">
        <is>
          <t>Total investment (USD)</t>
        </is>
      </c>
      <c r="C92" s="4">
        <f>INDEX(Capex!$C$15:$E$15,1,Inputs!$E$17)/Inputs!$E$7</f>
        <v/>
      </c>
    </row>
    <row r="93">
      <c r="A93" s="18" t="inlineStr">
        <is>
          <t>Payback (months from opening)</t>
        </is>
      </c>
      <c r="C93" s="3">
        <f>IF(MIN(M_Base!$C$32:$BJ$32)&gt;60,"&gt; 60",MIN(M_Base!$C$32:$BJ$32))</f>
        <v/>
      </c>
    </row>
    <row r="94">
      <c r="A94" s="18" t="inlineStr">
        <is>
          <t>Residual value end-Y5 (book value of fixed assets)</t>
        </is>
      </c>
      <c r="C94" s="3">
        <f>INDEX(Capex!$C$19:$E$19,1,Inputs!$E$17)*MAX(0,1-5/MAX(Inputs!$E$88,0.0001))*(Inputs!$E$88&gt;0)+INDEX(Capex!$C$20:$E$20,1,Inputs!$E$17)*MAX(0,1-5/MAX(Inputs!$E$89,0.0001))*(Inputs!$E$89&gt;0)+INDEX(Capex!$C$21:$E$21,1,Inputs!$E$17)*MAX(0,1-5/MAX(Inputs!$E$90,0.0001))*(Inputs!$E$90&gt;0)+INDEX(Capex!$C$22:$E$22,1,Inputs!$E$17)*MAX(0,1-5/MAX(Inputs!$E$91,0.0001))*(Inputs!$E$91&gt;0)+INDEX(Capex!$C$23:$E$23,1,Inputs!$E$17)*MAX(0,1-5/MAX(Inputs!$E$92,0.0001))*(Inputs!$E$92&gt;0)+INDEX(Capex!$C$24:$E$24,1,Inputs!$E$17)*MAX(0,1-5/MAX(Inputs!$E$93,0.0001))*(Inputs!$E$93&gt;0)+INDEX(Capex!$C$25:$E$25,1,Inputs!$E$17)*MAX(0,1-5/MAX(Inputs!$E$94,0.0001))*(Inputs!$E$94&gt;0)</f>
        <v/>
      </c>
    </row>
    <row r="95">
      <c r="A95" s="18" t="inlineStr">
        <is>
          <t>NPV @ discount rate (5 yrs + residual)</t>
        </is>
      </c>
      <c r="C95" s="3">
        <f>C101+NPV(Inputs!$E$12,D101:H101)</f>
        <v/>
      </c>
    </row>
    <row r="96">
      <c r="A96" s="18" t="inlineStr">
        <is>
          <t>IRR (5 yrs + residual)</t>
        </is>
      </c>
      <c r="C96" s="6">
        <f>IFERROR(IRR(C101:H101),"n/a")</f>
        <v/>
      </c>
    </row>
    <row r="97">
      <c r="A97" s="18" t="inlineStr">
        <is>
          <t>IRR (5 yrs, no residual)</t>
        </is>
      </c>
      <c r="C97" s="6">
        <f>IFERROR(IRR(C102:H102),"n/a")</f>
        <v/>
      </c>
    </row>
    <row r="98">
      <c r="A98" s="18" t="inlineStr">
        <is>
          <t>ROIC Year 3 (NOPAT / investment)</t>
        </is>
      </c>
      <c r="C98" s="6">
        <f>(E78-E81)/INDEX(Capex!$C$15:$E$15,1,Inputs!$E$17)</f>
        <v/>
      </c>
    </row>
    <row r="99">
      <c r="A99" s="18" t="inlineStr">
        <is>
          <t>Year-3 EBITDA (USD)</t>
        </is>
      </c>
      <c r="C99" s="4">
        <f>E75/Inputs!$E$7</f>
        <v/>
      </c>
    </row>
    <row r="101">
      <c r="A101" t="inlineStr">
        <is>
          <t>Cash flows for IRR: Y0 … Y5 (+ residual in Y5)</t>
        </is>
      </c>
      <c r="C101" s="3">
        <f>-INDEX(Capex!$C$15:$E$15,1,Inputs!$E$17)</f>
        <v/>
      </c>
      <c r="D101" s="3">
        <f>C88</f>
        <v/>
      </c>
      <c r="E101" s="3">
        <f>D88</f>
        <v/>
      </c>
      <c r="F101" s="3">
        <f>E88</f>
        <v/>
      </c>
      <c r="G101" s="3">
        <f>F88</f>
        <v/>
      </c>
      <c r="H101" s="3">
        <f>G88+C94</f>
        <v/>
      </c>
    </row>
    <row r="102">
      <c r="A102" t="inlineStr">
        <is>
          <t>Cash flows (no residual)</t>
        </is>
      </c>
      <c r="C102" s="3">
        <f>-INDEX(Capex!$C$15:$E$15,1,Inputs!$E$17)</f>
        <v/>
      </c>
      <c r="D102" s="3">
        <f>C88</f>
        <v/>
      </c>
      <c r="E102" s="3">
        <f>D88</f>
        <v/>
      </c>
      <c r="F102" s="3">
        <f>E88</f>
        <v/>
      </c>
      <c r="G102" s="3">
        <f>F88</f>
        <v/>
      </c>
      <c r="H102" s="3">
        <f>G88</f>
        <v/>
      </c>
    </row>
    <row r="105">
      <c r="A105" s="16" t="inlineStr">
        <is>
          <t>OPTIMISTIC SCENARIO</t>
        </is>
      </c>
      <c r="C105" s="17" t="inlineStr">
        <is>
          <t>Year 1</t>
        </is>
      </c>
      <c r="D105" s="17" t="inlineStr">
        <is>
          <t>Year 2</t>
        </is>
      </c>
      <c r="E105" s="17" t="inlineStr">
        <is>
          <t>Year 3</t>
        </is>
      </c>
      <c r="F105" s="17" t="inlineStr">
        <is>
          <t>Year 4</t>
        </is>
      </c>
      <c r="G105" s="17" t="inlineStr">
        <is>
          <t>Year 5</t>
        </is>
      </c>
    </row>
    <row r="106">
      <c r="A106" t="inlineStr">
        <is>
          <t>Transactions (year)</t>
        </is>
      </c>
      <c r="C106" s="5">
        <f>SUMPRODUCT((M_Opt!$C$4:$BJ$4=1)*M_Opt!$C$11:$BJ$11*M_Opt!$C$6:$BJ$6)</f>
        <v/>
      </c>
      <c r="D106" s="5">
        <f>SUMPRODUCT((M_Opt!$C$4:$BJ$4=2)*M_Opt!$C$11:$BJ$11*M_Opt!$C$6:$BJ$6)</f>
        <v/>
      </c>
      <c r="E106" s="5">
        <f>SUMPRODUCT((M_Opt!$C$4:$BJ$4=3)*M_Opt!$C$11:$BJ$11*M_Opt!$C$6:$BJ$6)</f>
        <v/>
      </c>
      <c r="F106" s="5">
        <f>SUMPRODUCT((M_Opt!$C$4:$BJ$4=4)*M_Opt!$C$11:$BJ$11*M_Opt!$C$6:$BJ$6)</f>
        <v/>
      </c>
      <c r="G106" s="5">
        <f>SUMPRODUCT((M_Opt!$C$4:$BJ$4=5)*M_Opt!$C$11:$BJ$11*M_Opt!$C$6:$BJ$6)</f>
        <v/>
      </c>
    </row>
    <row r="107">
      <c r="A107" t="inlineStr">
        <is>
          <t>Transactions / day (avg)</t>
        </is>
      </c>
      <c r="C107" s="5">
        <f>C106/SUMIF(M_Opt!$C$4:$BJ$4,1,M_Opt!$C$6:$BJ$6)</f>
        <v/>
      </c>
      <c r="D107" s="5">
        <f>D106/SUMIF(M_Opt!$C$4:$BJ$4,2,M_Opt!$C$6:$BJ$6)</f>
        <v/>
      </c>
      <c r="E107" s="5">
        <f>E106/SUMIF(M_Opt!$C$4:$BJ$4,3,M_Opt!$C$6:$BJ$6)</f>
        <v/>
      </c>
      <c r="F107" s="5">
        <f>F106/SUMIF(M_Opt!$C$4:$BJ$4,4,M_Opt!$C$6:$BJ$6)</f>
        <v/>
      </c>
      <c r="G107" s="5">
        <f>G106/SUMIF(M_Opt!$C$4:$BJ$4,5,M_Opt!$C$6:$BJ$6)</f>
        <v/>
      </c>
    </row>
    <row r="108">
      <c r="A108" t="inlineStr">
        <is>
          <t>Average ticket (AMD incl. VAT)</t>
        </is>
      </c>
      <c r="C108" s="5">
        <f>C109/C106</f>
        <v/>
      </c>
      <c r="D108" s="5">
        <f>D109/D106</f>
        <v/>
      </c>
      <c r="E108" s="5">
        <f>E109/E106</f>
        <v/>
      </c>
      <c r="F108" s="5">
        <f>F109/F106</f>
        <v/>
      </c>
      <c r="G108" s="5">
        <f>G109/G106</f>
        <v/>
      </c>
    </row>
    <row r="109">
      <c r="A109" t="inlineStr">
        <is>
          <t>Gross sales (incl. VAT)</t>
        </is>
      </c>
      <c r="C109" s="3">
        <f>SUMIF(M_Opt!$C$4:$BJ$4,1,M_Opt!$C$13:$BJ$13)</f>
        <v/>
      </c>
      <c r="D109" s="3">
        <f>SUMIF(M_Opt!$C$4:$BJ$4,2,M_Opt!$C$13:$BJ$13)</f>
        <v/>
      </c>
      <c r="E109" s="3">
        <f>SUMIF(M_Opt!$C$4:$BJ$4,3,M_Opt!$C$13:$BJ$13)</f>
        <v/>
      </c>
      <c r="F109" s="3">
        <f>SUMIF(M_Opt!$C$4:$BJ$4,4,M_Opt!$C$13:$BJ$13)</f>
        <v/>
      </c>
      <c r="G109" s="3">
        <f>SUMIF(M_Opt!$C$4:$BJ$4,5,M_Opt!$C$13:$BJ$13)</f>
        <v/>
      </c>
    </row>
    <row r="110">
      <c r="A110" s="18" t="inlineStr">
        <is>
          <t>Net sales (excl. VAT)</t>
        </is>
      </c>
      <c r="C110" s="3">
        <f>SUMIF(M_Opt!$C$4:$BJ$4,1,M_Opt!$C$14:$BJ$14)</f>
        <v/>
      </c>
      <c r="D110" s="3">
        <f>SUMIF(M_Opt!$C$4:$BJ$4,2,M_Opt!$C$14:$BJ$14)</f>
        <v/>
      </c>
      <c r="E110" s="3">
        <f>SUMIF(M_Opt!$C$4:$BJ$4,3,M_Opt!$C$14:$BJ$14)</f>
        <v/>
      </c>
      <c r="F110" s="3">
        <f>SUMIF(M_Opt!$C$4:$BJ$4,4,M_Opt!$C$14:$BJ$14)</f>
        <v/>
      </c>
      <c r="G110" s="3">
        <f>SUMIF(M_Opt!$C$4:$BJ$4,5,M_Opt!$C$14:$BJ$14)</f>
        <v/>
      </c>
    </row>
    <row r="111">
      <c r="A111" t="inlineStr">
        <is>
          <t>COGS + waste</t>
        </is>
      </c>
      <c r="C111" s="3">
        <f>SUMIF(M_Opt!$C$4:$BJ$4,1,M_Opt!$C$15:$BJ$15)</f>
        <v/>
      </c>
      <c r="D111" s="3">
        <f>SUMIF(M_Opt!$C$4:$BJ$4,2,M_Opt!$C$15:$BJ$15)</f>
        <v/>
      </c>
      <c r="E111" s="3">
        <f>SUMIF(M_Opt!$C$4:$BJ$4,3,M_Opt!$C$15:$BJ$15)</f>
        <v/>
      </c>
      <c r="F111" s="3">
        <f>SUMIF(M_Opt!$C$4:$BJ$4,4,M_Opt!$C$15:$BJ$15)</f>
        <v/>
      </c>
      <c r="G111" s="3">
        <f>SUMIF(M_Opt!$C$4:$BJ$4,5,M_Opt!$C$15:$BJ$15)</f>
        <v/>
      </c>
    </row>
    <row r="112">
      <c r="A112" t="inlineStr">
        <is>
          <t>Gross profit</t>
        </is>
      </c>
      <c r="C112" s="3">
        <f>C110-C111</f>
        <v/>
      </c>
      <c r="D112" s="3">
        <f>D110-D111</f>
        <v/>
      </c>
      <c r="E112" s="3">
        <f>E110-E111</f>
        <v/>
      </c>
      <c r="F112" s="3">
        <f>F110-F111</f>
        <v/>
      </c>
      <c r="G112" s="3">
        <f>G110-G111</f>
        <v/>
      </c>
    </row>
    <row r="113">
      <c r="A113" t="inlineStr">
        <is>
          <t>Gross margin %</t>
        </is>
      </c>
      <c r="C113" s="6">
        <f>IFERROR(C112/C110,0)</f>
        <v/>
      </c>
      <c r="D113" s="6">
        <f>IFERROR(D112/D110,0)</f>
        <v/>
      </c>
      <c r="E113" s="6">
        <f>IFERROR(E112/E110,0)</f>
        <v/>
      </c>
      <c r="F113" s="6">
        <f>IFERROR(F112/F110,0)</f>
        <v/>
      </c>
      <c r="G113" s="6">
        <f>IFERROR(G112/G110,0)</f>
        <v/>
      </c>
    </row>
    <row r="114">
      <c r="A114" t="inlineStr">
        <is>
          <t>Labour</t>
        </is>
      </c>
      <c r="C114" s="3">
        <f>SUMIF(M_Opt!$C$4:$BJ$4,1,M_Opt!$C$23:$BJ$23)</f>
        <v/>
      </c>
      <c r="D114" s="3">
        <f>SUMIF(M_Opt!$C$4:$BJ$4,2,M_Opt!$C$23:$BJ$23)</f>
        <v/>
      </c>
      <c r="E114" s="3">
        <f>SUMIF(M_Opt!$C$4:$BJ$4,3,M_Opt!$C$23:$BJ$23)</f>
        <v/>
      </c>
      <c r="F114" s="3">
        <f>SUMIF(M_Opt!$C$4:$BJ$4,4,M_Opt!$C$23:$BJ$23)</f>
        <v/>
      </c>
      <c r="G114" s="3">
        <f>SUMIF(M_Opt!$C$4:$BJ$4,5,M_Opt!$C$23:$BJ$23)</f>
        <v/>
      </c>
    </row>
    <row r="115">
      <c r="A115" t="inlineStr">
        <is>
          <t>Ground rent</t>
        </is>
      </c>
      <c r="C115" s="3">
        <f>SUMIF(M_Opt!$C$4:$BJ$4,1,M_Opt!$C$24:$BJ$24)</f>
        <v/>
      </c>
      <c r="D115" s="3">
        <f>SUMIF(M_Opt!$C$4:$BJ$4,2,M_Opt!$C$24:$BJ$24)</f>
        <v/>
      </c>
      <c r="E115" s="3">
        <f>SUMIF(M_Opt!$C$4:$BJ$4,3,M_Opt!$C$24:$BJ$24)</f>
        <v/>
      </c>
      <c r="F115" s="3">
        <f>SUMIF(M_Opt!$C$4:$BJ$4,4,M_Opt!$C$24:$BJ$24)</f>
        <v/>
      </c>
      <c r="G115" s="3">
        <f>SUMIF(M_Opt!$C$4:$BJ$4,5,M_Opt!$C$24:$BJ$24)</f>
        <v/>
      </c>
    </row>
    <row r="116">
      <c r="A116" t="inlineStr">
        <is>
          <t>Utilities</t>
        </is>
      </c>
      <c r="C116" s="3">
        <f>SUMIF(M_Opt!$C$4:$BJ$4,1,M_Opt!$C$20:$BJ$20)</f>
        <v/>
      </c>
      <c r="D116" s="3">
        <f>SUMIF(M_Opt!$C$4:$BJ$4,2,M_Opt!$C$20:$BJ$20)</f>
        <v/>
      </c>
      <c r="E116" s="3">
        <f>SUMIF(M_Opt!$C$4:$BJ$4,3,M_Opt!$C$20:$BJ$20)</f>
        <v/>
      </c>
      <c r="F116" s="3">
        <f>SUMIF(M_Opt!$C$4:$BJ$4,4,M_Opt!$C$20:$BJ$20)</f>
        <v/>
      </c>
      <c r="G116" s="3">
        <f>SUMIF(M_Opt!$C$4:$BJ$4,5,M_Opt!$C$20:$BJ$20)</f>
        <v/>
      </c>
    </row>
    <row r="117">
      <c r="A117" t="inlineStr">
        <is>
          <t>Card fees</t>
        </is>
      </c>
      <c r="C117" s="3">
        <f>SUMIF(M_Opt!$C$4:$BJ$4,1,M_Opt!$C$16:$BJ$16)</f>
        <v/>
      </c>
      <c r="D117" s="3">
        <f>SUMIF(M_Opt!$C$4:$BJ$4,2,M_Opt!$C$16:$BJ$16)</f>
        <v/>
      </c>
      <c r="E117" s="3">
        <f>SUMIF(M_Opt!$C$4:$BJ$4,3,M_Opt!$C$16:$BJ$16)</f>
        <v/>
      </c>
      <c r="F117" s="3">
        <f>SUMIF(M_Opt!$C$4:$BJ$4,4,M_Opt!$C$16:$BJ$16)</f>
        <v/>
      </c>
      <c r="G117" s="3">
        <f>SUMIF(M_Opt!$C$4:$BJ$4,5,M_Opt!$C$16:$BJ$16)</f>
        <v/>
      </c>
    </row>
    <row r="118">
      <c r="A118" t="inlineStr">
        <is>
          <t>Marketing</t>
        </is>
      </c>
      <c r="C118" s="3">
        <f>SUMIF(M_Opt!$C$4:$BJ$4,1,M_Opt!$C$17:$BJ$17)</f>
        <v/>
      </c>
      <c r="D118" s="3">
        <f>SUMIF(M_Opt!$C$4:$BJ$4,2,M_Opt!$C$17:$BJ$17)</f>
        <v/>
      </c>
      <c r="E118" s="3">
        <f>SUMIF(M_Opt!$C$4:$BJ$4,3,M_Opt!$C$17:$BJ$17)</f>
        <v/>
      </c>
      <c r="F118" s="3">
        <f>SUMIF(M_Opt!$C$4:$BJ$4,4,M_Opt!$C$17:$BJ$17)</f>
        <v/>
      </c>
      <c r="G118" s="3">
        <f>SUMIF(M_Opt!$C$4:$BJ$4,5,M_Opt!$C$17:$BJ$17)</f>
        <v/>
      </c>
    </row>
    <row r="119">
      <c r="A119" t="inlineStr">
        <is>
          <t>Repairs &amp; maintenance</t>
        </is>
      </c>
      <c r="C119" s="3">
        <f>SUMIF(M_Opt!$C$4:$BJ$4,1,M_Opt!$C$18:$BJ$18)</f>
        <v/>
      </c>
      <c r="D119" s="3">
        <f>SUMIF(M_Opt!$C$4:$BJ$4,2,M_Opt!$C$18:$BJ$18)</f>
        <v/>
      </c>
      <c r="E119" s="3">
        <f>SUMIF(M_Opt!$C$4:$BJ$4,3,M_Opt!$C$18:$BJ$18)</f>
        <v/>
      </c>
      <c r="F119" s="3">
        <f>SUMIF(M_Opt!$C$4:$BJ$4,4,M_Opt!$C$18:$BJ$18)</f>
        <v/>
      </c>
      <c r="G119" s="3">
        <f>SUMIF(M_Opt!$C$4:$BJ$4,5,M_Opt!$C$18:$BJ$18)</f>
        <v/>
      </c>
    </row>
    <row r="120">
      <c r="A120" t="inlineStr">
        <is>
          <t>Other variable</t>
        </is>
      </c>
      <c r="C120" s="3">
        <f>SUMIF(M_Opt!$C$4:$BJ$4,1,M_Opt!$C$19:$BJ$19)</f>
        <v/>
      </c>
      <c r="D120" s="3">
        <f>SUMIF(M_Opt!$C$4:$BJ$4,2,M_Opt!$C$19:$BJ$19)</f>
        <v/>
      </c>
      <c r="E120" s="3">
        <f>SUMIF(M_Opt!$C$4:$BJ$4,3,M_Opt!$C$19:$BJ$19)</f>
        <v/>
      </c>
      <c r="F120" s="3">
        <f>SUMIF(M_Opt!$C$4:$BJ$4,4,M_Opt!$C$19:$BJ$19)</f>
        <v/>
      </c>
      <c r="G120" s="3">
        <f>SUMIF(M_Opt!$C$4:$BJ$4,5,M_Opt!$C$19:$BJ$19)</f>
        <v/>
      </c>
    </row>
    <row r="121">
      <c r="A121" t="inlineStr">
        <is>
          <t>Other fixed + land tax</t>
        </is>
      </c>
      <c r="C121" s="3">
        <f>SUMIF(M_Opt!$C$4:$BJ$4,1,M_Opt!$C$25:$BJ$25)</f>
        <v/>
      </c>
      <c r="D121" s="3">
        <f>SUMIF(M_Opt!$C$4:$BJ$4,2,M_Opt!$C$25:$BJ$25)</f>
        <v/>
      </c>
      <c r="E121" s="3">
        <f>SUMIF(M_Opt!$C$4:$BJ$4,3,M_Opt!$C$25:$BJ$25)</f>
        <v/>
      </c>
      <c r="F121" s="3">
        <f>SUMIF(M_Opt!$C$4:$BJ$4,4,M_Opt!$C$25:$BJ$25)</f>
        <v/>
      </c>
      <c r="G121" s="3">
        <f>SUMIF(M_Opt!$C$4:$BJ$4,5,M_Opt!$C$25:$BJ$25)</f>
        <v/>
      </c>
    </row>
    <row r="122">
      <c r="A122" t="inlineStr">
        <is>
          <t>Total operating costs</t>
        </is>
      </c>
      <c r="C122" s="3">
        <f>SUMIF(M_Opt!$C$4:$BJ$4,1,M_Opt!$C$26:$BJ$26)</f>
        <v/>
      </c>
      <c r="D122" s="3">
        <f>SUMIF(M_Opt!$C$4:$BJ$4,2,M_Opt!$C$26:$BJ$26)</f>
        <v/>
      </c>
      <c r="E122" s="3">
        <f>SUMIF(M_Opt!$C$4:$BJ$4,3,M_Opt!$C$26:$BJ$26)</f>
        <v/>
      </c>
      <c r="F122" s="3">
        <f>SUMIF(M_Opt!$C$4:$BJ$4,4,M_Opt!$C$26:$BJ$26)</f>
        <v/>
      </c>
      <c r="G122" s="3">
        <f>SUMIF(M_Opt!$C$4:$BJ$4,5,M_Opt!$C$26:$BJ$26)</f>
        <v/>
      </c>
    </row>
    <row r="123">
      <c r="A123" t="inlineStr">
        <is>
          <t>EBITDA before turnover tax</t>
        </is>
      </c>
      <c r="C123" s="3">
        <f>SUMIF(M_Opt!$C$4:$BJ$4,1,M_Opt!$C$27:$BJ$27)</f>
        <v/>
      </c>
      <c r="D123" s="3">
        <f>SUMIF(M_Opt!$C$4:$BJ$4,2,M_Opt!$C$27:$BJ$27)</f>
        <v/>
      </c>
      <c r="E123" s="3">
        <f>SUMIF(M_Opt!$C$4:$BJ$4,3,M_Opt!$C$27:$BJ$27)</f>
        <v/>
      </c>
      <c r="F123" s="3">
        <f>SUMIF(M_Opt!$C$4:$BJ$4,4,M_Opt!$C$27:$BJ$27)</f>
        <v/>
      </c>
      <c r="G123" s="3">
        <f>SUMIF(M_Opt!$C$4:$BJ$4,5,M_Opt!$C$27:$BJ$27)</f>
        <v/>
      </c>
    </row>
    <row r="124">
      <c r="A124" t="inlineStr">
        <is>
          <t>TT deduction credit (incl. carried)</t>
        </is>
      </c>
      <c r="C124" s="3">
        <f>Inputs!$F$13*(Inputs!$F$15*(C122-C119)+C130)</f>
        <v/>
      </c>
      <c r="D124" s="3">
        <f>Inputs!$F$13*(Inputs!$F$15*(D122-D119)+D130)</f>
        <v/>
      </c>
      <c r="E124" s="3">
        <f>Inputs!$F$13*(Inputs!$F$15*(E122-E119)+E130)</f>
        <v/>
      </c>
      <c r="F124" s="3">
        <f>Inputs!$F$13*(Inputs!$F$15*(F122-F119)+F130)</f>
        <v/>
      </c>
      <c r="G124" s="3">
        <f>Inputs!$F$13*(Inputs!$F$15*(G122-G119)+G130)</f>
        <v/>
      </c>
    </row>
    <row r="125">
      <c r="A125" t="inlineStr">
        <is>
          <t>Turnover tax (catering TT)</t>
        </is>
      </c>
      <c r="C125" s="3">
        <f>Inputs!$F$13*MAX(Inputs!$F$14*C109-C124,Inputs!$F$16*C109)</f>
        <v/>
      </c>
      <c r="D125" s="3">
        <f>Inputs!$F$13*MAX(Inputs!$F$14*D109-D124,Inputs!$F$16*D109)</f>
        <v/>
      </c>
      <c r="E125" s="3">
        <f>Inputs!$F$13*MAX(Inputs!$F$14*E109-E124,Inputs!$F$16*E109)</f>
        <v/>
      </c>
      <c r="F125" s="3">
        <f>Inputs!$F$13*MAX(Inputs!$F$14*F109-F124,Inputs!$F$16*F109)</f>
        <v/>
      </c>
      <c r="G125" s="3">
        <f>Inputs!$F$13*MAX(Inputs!$F$14*G109-G124,Inputs!$F$16*G109)</f>
        <v/>
      </c>
    </row>
    <row r="126">
      <c r="A126" s="18" t="inlineStr">
        <is>
          <t>EBITDA</t>
        </is>
      </c>
      <c r="C126" s="3">
        <f>C123-C125</f>
        <v/>
      </c>
      <c r="D126" s="3">
        <f>D123-D125</f>
        <v/>
      </c>
      <c r="E126" s="3">
        <f>E123-E125</f>
        <v/>
      </c>
      <c r="F126" s="3">
        <f>F123-F125</f>
        <v/>
      </c>
      <c r="G126" s="3">
        <f>G123-G125</f>
        <v/>
      </c>
    </row>
    <row r="127">
      <c r="A127" t="inlineStr">
        <is>
          <t>EBITDA margin %</t>
        </is>
      </c>
      <c r="C127" s="6">
        <f>IFERROR(C126/C110,0)</f>
        <v/>
      </c>
      <c r="D127" s="6">
        <f>IFERROR(D126/D110,0)</f>
        <v/>
      </c>
      <c r="E127" s="6">
        <f>IFERROR(E126/E110,0)</f>
        <v/>
      </c>
      <c r="F127" s="6">
        <f>IFERROR(F126/F110,0)</f>
        <v/>
      </c>
      <c r="G127" s="6">
        <f>IFERROR(G126/G110,0)</f>
        <v/>
      </c>
    </row>
    <row r="128">
      <c r="A128" t="inlineStr">
        <is>
          <t>Depreciation</t>
        </is>
      </c>
      <c r="C128" s="3">
        <f>SUMIF(M_Opt!$C$4:$BJ$4,1,M_Opt!$C$28:$BJ$28)</f>
        <v/>
      </c>
      <c r="D128" s="3">
        <f>SUMIF(M_Opt!$C$4:$BJ$4,2,M_Opt!$C$28:$BJ$28)</f>
        <v/>
      </c>
      <c r="E128" s="3">
        <f>SUMIF(M_Opt!$C$4:$BJ$4,3,M_Opt!$C$28:$BJ$28)</f>
        <v/>
      </c>
      <c r="F128" s="3">
        <f>SUMIF(M_Opt!$C$4:$BJ$4,4,M_Opt!$C$28:$BJ$28)</f>
        <v/>
      </c>
      <c r="G128" s="3">
        <f>SUMIF(M_Opt!$C$4:$BJ$4,5,M_Opt!$C$28:$BJ$28)</f>
        <v/>
      </c>
    </row>
    <row r="129">
      <c r="A129" t="inlineStr">
        <is>
          <t>EBIT</t>
        </is>
      </c>
      <c r="C129" s="3">
        <f>C126-C128</f>
        <v/>
      </c>
      <c r="D129" s="3">
        <f>D126-D128</f>
        <v/>
      </c>
      <c r="E129" s="3">
        <f>E126-E128</f>
        <v/>
      </c>
      <c r="F129" s="3">
        <f>F126-F128</f>
        <v/>
      </c>
      <c r="G129" s="3">
        <f>G126-G128</f>
        <v/>
      </c>
    </row>
    <row r="130">
      <c r="A130" t="inlineStr">
        <is>
          <t>Loss carried forward (opening)</t>
        </is>
      </c>
      <c r="C130" s="3">
        <f>0</f>
        <v/>
      </c>
      <c r="D130" s="3">
        <f>IF(Inputs!$F$13=1,MAX(0,C124-(Inputs!$F$14-Inputs!$F$16)*C109),MAX(0,C130-C129))</f>
        <v/>
      </c>
      <c r="E130" s="3">
        <f>IF(Inputs!$F$13=1,MAX(0,D124-(Inputs!$F$14-Inputs!$F$16)*D109),MAX(0,D130-D129))</f>
        <v/>
      </c>
      <c r="F130" s="3">
        <f>IF(Inputs!$F$13=1,MAX(0,E124-(Inputs!$F$14-Inputs!$F$16)*E109),MAX(0,E130-E129))</f>
        <v/>
      </c>
      <c r="G130" s="3">
        <f>IF(Inputs!$F$13=1,MAX(0,F124-(Inputs!$F$14-Inputs!$F$16)*F109),MAX(0,F130-F129))</f>
        <v/>
      </c>
    </row>
    <row r="131">
      <c r="A131" t="inlineStr">
        <is>
          <t>Taxable profit</t>
        </is>
      </c>
      <c r="C131" s="3">
        <f>(1-Inputs!$F$13)*MAX(0,C129-C130)</f>
        <v/>
      </c>
      <c r="D131" s="3">
        <f>(1-Inputs!$F$13)*MAX(0,D129-D130)</f>
        <v/>
      </c>
      <c r="E131" s="3">
        <f>(1-Inputs!$F$13)*MAX(0,E129-E130)</f>
        <v/>
      </c>
      <c r="F131" s="3">
        <f>(1-Inputs!$F$13)*MAX(0,F129-F130)</f>
        <v/>
      </c>
      <c r="G131" s="3">
        <f>(1-Inputs!$F$13)*MAX(0,G129-G130)</f>
        <v/>
      </c>
    </row>
    <row r="132">
      <c r="A132" t="inlineStr">
        <is>
          <t>Profit tax</t>
        </is>
      </c>
      <c r="C132" s="3">
        <f>C131*Inputs!$F$11</f>
        <v/>
      </c>
      <c r="D132" s="3">
        <f>D131*Inputs!$F$11</f>
        <v/>
      </c>
      <c r="E132" s="3">
        <f>E131*Inputs!$F$11</f>
        <v/>
      </c>
      <c r="F132" s="3">
        <f>F131*Inputs!$F$11</f>
        <v/>
      </c>
      <c r="G132" s="3">
        <f>G131*Inputs!$F$11</f>
        <v/>
      </c>
    </row>
    <row r="133">
      <c r="A133" s="18" t="inlineStr">
        <is>
          <t>Net income</t>
        </is>
      </c>
      <c r="C133" s="3">
        <f>C129-C132</f>
        <v/>
      </c>
      <c r="D133" s="3">
        <f>D129-D132</f>
        <v/>
      </c>
      <c r="E133" s="3">
        <f>E129-E132</f>
        <v/>
      </c>
      <c r="F133" s="3">
        <f>F129-F132</f>
        <v/>
      </c>
      <c r="G133" s="3">
        <f>G129-G132</f>
        <v/>
      </c>
    </row>
    <row r="134">
      <c r="A134" t="inlineStr">
        <is>
          <t>Net margin %</t>
        </is>
      </c>
      <c r="C134" s="6">
        <f>IFERROR(C133/C110,0)</f>
        <v/>
      </c>
      <c r="D134" s="6">
        <f>IFERROR(D133/D110,0)</f>
        <v/>
      </c>
      <c r="E134" s="6">
        <f>IFERROR(E133/E110,0)</f>
        <v/>
      </c>
      <c r="F134" s="6">
        <f>IFERROR(F133/F110,0)</f>
        <v/>
      </c>
      <c r="G134" s="6">
        <f>IFERROR(G133/G110,0)</f>
        <v/>
      </c>
    </row>
    <row r="135">
      <c r="A135" t="inlineStr">
        <is>
          <t>Maintenance capex</t>
        </is>
      </c>
      <c r="C135" s="3">
        <f>0</f>
        <v/>
      </c>
      <c r="D135" s="3">
        <f>D110*Inputs!$F$76</f>
        <v/>
      </c>
      <c r="E135" s="3">
        <f>E110*Inputs!$F$76</f>
        <v/>
      </c>
      <c r="F135" s="3">
        <f>F110*Inputs!$F$76</f>
        <v/>
      </c>
      <c r="G135" s="3">
        <f>G110*Inputs!$F$76</f>
        <v/>
      </c>
    </row>
    <row r="136">
      <c r="A136" t="inlineStr">
        <is>
          <t>Working capital (closing)</t>
        </is>
      </c>
      <c r="C136" s="3">
        <f>C111*Inputs!$F$77/365</f>
        <v/>
      </c>
      <c r="D136" s="3">
        <f>D111*Inputs!$F$77/365</f>
        <v/>
      </c>
      <c r="E136" s="3">
        <f>E111*Inputs!$F$77/365</f>
        <v/>
      </c>
      <c r="F136" s="3">
        <f>F111*Inputs!$F$77/365</f>
        <v/>
      </c>
      <c r="G136" s="3">
        <f>G111*Inputs!$F$77/365</f>
        <v/>
      </c>
    </row>
    <row r="137">
      <c r="A137" t="inlineStr">
        <is>
          <t>Δ Working capital</t>
        </is>
      </c>
      <c r="C137" s="3">
        <f>C136</f>
        <v/>
      </c>
      <c r="D137" s="3">
        <f>D136-C136</f>
        <v/>
      </c>
      <c r="E137" s="3">
        <f>E136-D136</f>
        <v/>
      </c>
      <c r="F137" s="3">
        <f>F136-E136</f>
        <v/>
      </c>
      <c r="G137" s="3">
        <f>G136-F136</f>
        <v/>
      </c>
    </row>
    <row r="138">
      <c r="A138" t="inlineStr">
        <is>
          <t>Operating cash flow</t>
        </is>
      </c>
      <c r="C138" s="3">
        <f>C126-C132-C137</f>
        <v/>
      </c>
      <c r="D138" s="3">
        <f>D126-D132-D137</f>
        <v/>
      </c>
      <c r="E138" s="3">
        <f>E126-E132-E137</f>
        <v/>
      </c>
      <c r="F138" s="3">
        <f>F126-F132-F137</f>
        <v/>
      </c>
      <c r="G138" s="3">
        <f>G126-G132-G137</f>
        <v/>
      </c>
    </row>
    <row r="139">
      <c r="A139" s="18" t="inlineStr">
        <is>
          <t>Free cash flow</t>
        </is>
      </c>
      <c r="C139" s="3">
        <f>C138-C135</f>
        <v/>
      </c>
      <c r="D139" s="3">
        <f>D138-D135</f>
        <v/>
      </c>
      <c r="E139" s="3">
        <f>E138-E135</f>
        <v/>
      </c>
      <c r="F139" s="3">
        <f>F138-F135</f>
        <v/>
      </c>
      <c r="G139" s="3">
        <f>G138-G135</f>
        <v/>
      </c>
    </row>
    <row r="140">
      <c r="A140" t="inlineStr">
        <is>
          <t>Cumulative FCF after investment</t>
        </is>
      </c>
      <c r="C140" s="3">
        <f>-INDEX(Capex!$C$15:$E$15,1,Inputs!$E$17)+C139</f>
        <v/>
      </c>
      <c r="D140" s="3">
        <f>C140+D139</f>
        <v/>
      </c>
      <c r="E140" s="3">
        <f>D140+E139</f>
        <v/>
      </c>
      <c r="F140" s="3">
        <f>E140+F139</f>
        <v/>
      </c>
      <c r="G140" s="3">
        <f>F140+G139</f>
        <v/>
      </c>
    </row>
    <row r="142">
      <c r="A142" s="18" t="inlineStr">
        <is>
          <t>Total investment (capex + pre-opening)</t>
        </is>
      </c>
      <c r="C142" s="3">
        <f>INDEX(Capex!$C$15:$E$15,1,Inputs!$E$17)</f>
        <v/>
      </c>
    </row>
    <row r="143">
      <c r="A143" s="18" t="inlineStr">
        <is>
          <t>Total investment (USD)</t>
        </is>
      </c>
      <c r="C143" s="4">
        <f>INDEX(Capex!$C$15:$E$15,1,Inputs!$E$17)/Inputs!$F$7</f>
        <v/>
      </c>
    </row>
    <row r="144">
      <c r="A144" s="18" t="inlineStr">
        <is>
          <t>Payback (months from opening)</t>
        </is>
      </c>
      <c r="C144" s="3">
        <f>IF(MIN(M_Opt!$C$32:$BJ$32)&gt;60,"&gt; 60",MIN(M_Opt!$C$32:$BJ$32))</f>
        <v/>
      </c>
    </row>
    <row r="145">
      <c r="A145" s="18" t="inlineStr">
        <is>
          <t>Residual value end-Y5 (book value of fixed assets)</t>
        </is>
      </c>
      <c r="C145" s="3">
        <f>INDEX(Capex!$C$19:$E$19,1,Inputs!$E$17)*MAX(0,1-5/MAX(Inputs!$E$88,0.0001))*(Inputs!$E$88&gt;0)+INDEX(Capex!$C$20:$E$20,1,Inputs!$E$17)*MAX(0,1-5/MAX(Inputs!$E$89,0.0001))*(Inputs!$E$89&gt;0)+INDEX(Capex!$C$21:$E$21,1,Inputs!$E$17)*MAX(0,1-5/MAX(Inputs!$E$90,0.0001))*(Inputs!$E$90&gt;0)+INDEX(Capex!$C$22:$E$22,1,Inputs!$E$17)*MAX(0,1-5/MAX(Inputs!$E$91,0.0001))*(Inputs!$E$91&gt;0)+INDEX(Capex!$C$23:$E$23,1,Inputs!$E$17)*MAX(0,1-5/MAX(Inputs!$E$92,0.0001))*(Inputs!$E$92&gt;0)+INDEX(Capex!$C$24:$E$24,1,Inputs!$E$17)*MAX(0,1-5/MAX(Inputs!$E$93,0.0001))*(Inputs!$E$93&gt;0)+INDEX(Capex!$C$25:$E$25,1,Inputs!$E$17)*MAX(0,1-5/MAX(Inputs!$E$94,0.0001))*(Inputs!$E$94&gt;0)</f>
        <v/>
      </c>
    </row>
    <row r="146">
      <c r="A146" s="18" t="inlineStr">
        <is>
          <t>NPV @ discount rate (5 yrs + residual)</t>
        </is>
      </c>
      <c r="C146" s="3">
        <f>C152+NPV(Inputs!$F$12,D152:H152)</f>
        <v/>
      </c>
    </row>
    <row r="147">
      <c r="A147" s="18" t="inlineStr">
        <is>
          <t>IRR (5 yrs + residual)</t>
        </is>
      </c>
      <c r="C147" s="6">
        <f>IFERROR(IRR(C152:H152),"n/a")</f>
        <v/>
      </c>
    </row>
    <row r="148">
      <c r="A148" s="18" t="inlineStr">
        <is>
          <t>IRR (5 yrs, no residual)</t>
        </is>
      </c>
      <c r="C148" s="6">
        <f>IFERROR(IRR(C153:H153),"n/a")</f>
        <v/>
      </c>
    </row>
    <row r="149">
      <c r="A149" s="18" t="inlineStr">
        <is>
          <t>ROIC Year 3 (NOPAT / investment)</t>
        </is>
      </c>
      <c r="C149" s="6">
        <f>(E129-E132)/INDEX(Capex!$C$15:$E$15,1,Inputs!$E$17)</f>
        <v/>
      </c>
    </row>
    <row r="150">
      <c r="A150" s="18" t="inlineStr">
        <is>
          <t>Year-3 EBITDA (USD)</t>
        </is>
      </c>
      <c r="C150" s="4">
        <f>E126/Inputs!$F$7</f>
        <v/>
      </c>
    </row>
    <row r="152">
      <c r="A152" t="inlineStr">
        <is>
          <t>Cash flows for IRR: Y0 … Y5 (+ residual in Y5)</t>
        </is>
      </c>
      <c r="C152" s="3">
        <f>-INDEX(Capex!$C$15:$E$15,1,Inputs!$E$17)</f>
        <v/>
      </c>
      <c r="D152" s="3">
        <f>C139</f>
        <v/>
      </c>
      <c r="E152" s="3">
        <f>D139</f>
        <v/>
      </c>
      <c r="F152" s="3">
        <f>E139</f>
        <v/>
      </c>
      <c r="G152" s="3">
        <f>F139</f>
        <v/>
      </c>
      <c r="H152" s="3">
        <f>G139+C145</f>
        <v/>
      </c>
    </row>
    <row r="153">
      <c r="A153" t="inlineStr">
        <is>
          <t>Cash flows (no residual)</t>
        </is>
      </c>
      <c r="C153" s="3">
        <f>-INDEX(Capex!$C$15:$E$15,1,Inputs!$E$17)</f>
        <v/>
      </c>
      <c r="D153" s="3">
        <f>C139</f>
        <v/>
      </c>
      <c r="E153" s="3">
        <f>D139</f>
        <v/>
      </c>
      <c r="F153" s="3">
        <f>E139</f>
        <v/>
      </c>
      <c r="G153" s="3">
        <f>F139</f>
        <v/>
      </c>
      <c r="H153" s="3">
        <f>G139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8" t="inlineStr">
        <is>
          <t>CHAMPA — break-even and required traffic (Year-2 cost base)</t>
        </is>
      </c>
    </row>
    <row r="3">
      <c r="A3" s="2" t="inlineStr">
        <is>
          <t>Metric</t>
        </is>
      </c>
      <c r="B3" s="2" t="inlineStr"/>
      <c r="C3" s="2" t="inlineStr">
        <is>
          <t>Conservative</t>
        </is>
      </c>
      <c r="D3" s="2" t="inlineStr">
        <is>
          <t>Base</t>
        </is>
      </c>
      <c r="E3" s="2" t="inlineStr">
        <is>
          <t>Optimistic</t>
        </is>
      </c>
    </row>
    <row r="4">
      <c r="A4" t="inlineStr">
        <is>
          <t>Year-2 net sales</t>
        </is>
      </c>
      <c r="C4" s="3">
        <f>Annual!D8</f>
        <v/>
      </c>
      <c r="D4" s="3">
        <f>Annual!D59</f>
        <v/>
      </c>
      <c r="E4" s="3">
        <f>Annual!D110</f>
        <v/>
      </c>
    </row>
    <row r="5">
      <c r="A5" t="inlineStr">
        <is>
          <t>Variable costs as % of net sales</t>
        </is>
      </c>
      <c r="C5" s="6">
        <f>(Annual!D9+Annual!D15+Annual!D17+Annual!D18+Annual!D16)/Annual!D8+Inputs!$D$67</f>
        <v/>
      </c>
      <c r="D5" s="6">
        <f>(Annual!D60+Annual!D66+Annual!D68+Annual!D69+Annual!D67)/Annual!D59+Inputs!$E$67</f>
        <v/>
      </c>
      <c r="E5" s="6">
        <f>(Annual!D111+Annual!D117+Annual!D119+Annual!D120+Annual!D118)/Annual!D110+Inputs!$F$67</f>
        <v/>
      </c>
    </row>
    <row r="6">
      <c r="A6" t="inlineStr">
        <is>
          <t>Fixed costs per year (labour, rent, fixed, utilities fixed)</t>
        </is>
      </c>
      <c r="C6" s="3">
        <f>Annual!D12+Annual!D13+Annual!D19+Annual!D14-Annual!D8*Inputs!$D$67</f>
        <v/>
      </c>
      <c r="D6" s="3">
        <f>Annual!D63+Annual!D64+Annual!D70+Annual!D65-Annual!D59*Inputs!$E$67</f>
        <v/>
      </c>
      <c r="E6" s="3">
        <f>Annual!D114+Annual!D115+Annual!D121+Annual!D116-Annual!D110*Inputs!$F$67</f>
        <v/>
      </c>
    </row>
    <row r="7">
      <c r="A7" t="inlineStr">
        <is>
          <t>Net ticket (excl. VAT)</t>
        </is>
      </c>
      <c r="C7" s="3">
        <f>Annual!D6/(1+Inputs!$D$10*(1-Inputs!$D$13))</f>
        <v/>
      </c>
      <c r="D7" s="3">
        <f>Annual!D57/(1+Inputs!$E$10*(1-Inputs!$E$13))</f>
        <v/>
      </c>
      <c r="E7" s="3">
        <f>Annual!D108/(1+Inputs!$F$10*(1-Inputs!$F$13))</f>
        <v/>
      </c>
    </row>
    <row r="8">
      <c r="A8" t="inlineStr">
        <is>
          <t>Contribution per transaction</t>
        </is>
      </c>
      <c r="C8" s="3">
        <f>C7*(1-C5)</f>
        <v/>
      </c>
      <c r="D8" s="3">
        <f>D7*(1-D5)</f>
        <v/>
      </c>
      <c r="E8" s="3">
        <f>E7*(1-E5)</f>
        <v/>
      </c>
    </row>
    <row r="9">
      <c r="A9" t="inlineStr">
        <is>
          <t>Break-even receipts per year (after turnover tax)</t>
        </is>
      </c>
      <c r="C9" s="3">
        <f>IF(Inputs!$D$13=1,IF((Inputs!$D$14*((C6)+(0))/(1-C5-Inputs!$D$16)-Inputs!$D$15*(C5*((C6)+(0))/(1-C5-Inputs!$D$16)+C6-Inputs!$D$65*((C6)+(0))/(1-C5-Inputs!$D$16))&lt;=Inputs!$D$16*((C6)+(0))/(1-C5-Inputs!$D$16)),((C6)+(0))/(1-C5-Inputs!$D$16),((1-Inputs!$D$15)*(C6)+(0))/(1-C5-Inputs!$D$14+Inputs!$D$15*(C5-Inputs!$D$65))),((C6)+(0))/(1-C5))</f>
        <v/>
      </c>
      <c r="D9" s="3">
        <f>IF(Inputs!$E$13=1,IF((Inputs!$E$14*((D6)+(0))/(1-D5-Inputs!$E$16)-Inputs!$E$15*(D5*((D6)+(0))/(1-D5-Inputs!$E$16)+D6-Inputs!$E$65*((D6)+(0))/(1-D5-Inputs!$E$16))&lt;=Inputs!$E$16*((D6)+(0))/(1-D5-Inputs!$E$16)),((D6)+(0))/(1-D5-Inputs!$E$16),((1-Inputs!$E$15)*(D6)+(0))/(1-D5-Inputs!$E$14+Inputs!$E$15*(D5-Inputs!$E$65))),((D6)+(0))/(1-D5))</f>
        <v/>
      </c>
      <c r="E9" s="3">
        <f>IF(Inputs!$F$13=1,IF((Inputs!$F$14*((E6)+(0))/(1-E5-Inputs!$F$16)-Inputs!$F$15*(E5*((E6)+(0))/(1-E5-Inputs!$F$16)+E6-Inputs!$F$65*((E6)+(0))/(1-E5-Inputs!$F$16))&lt;=Inputs!$F$16*((E6)+(0))/(1-E5-Inputs!$F$16)),((E6)+(0))/(1-E5-Inputs!$F$16),((1-Inputs!$F$15)*(E6)+(0))/(1-E5-Inputs!$F$14+Inputs!$F$15*(E5-Inputs!$F$65))),((E6)+(0))/(1-E5))</f>
        <v/>
      </c>
    </row>
    <row r="10">
      <c r="A10" t="inlineStr">
        <is>
          <t>Break-even transactions/day (EBITDA = 0)</t>
        </is>
      </c>
      <c r="C10" s="5">
        <f>C9/C7/Inputs!$D$9</f>
        <v/>
      </c>
      <c r="D10" s="5">
        <f>D9/D7/Inputs!$E$9</f>
        <v/>
      </c>
      <c r="E10" s="5">
        <f>E9/E7/Inputs!$F$9</f>
        <v/>
      </c>
    </row>
    <row r="11">
      <c r="A11" t="inlineStr">
        <is>
          <t>Break-even transactions/day (EBIT = 0)</t>
        </is>
      </c>
      <c r="C11" s="5">
        <f>IF(Inputs!$D$13=1,IF((Inputs!$D$14*((C6)+(Annual!D26))/(1-C5-Inputs!$D$16)-Inputs!$D$15*(C5*((C6)+(Annual!D26))/(1-C5-Inputs!$D$16)+C6-Inputs!$D$65*((C6)+(Annual!D26))/(1-C5-Inputs!$D$16))&lt;=Inputs!$D$16*((C6)+(Annual!D26))/(1-C5-Inputs!$D$16)),((C6)+(Annual!D26))/(1-C5-Inputs!$D$16),((1-Inputs!$D$15)*(C6)+(Annual!D26))/(1-C5-Inputs!$D$14+Inputs!$D$15*(C5-Inputs!$D$65))),((C6)+(Annual!D26))/(1-C5))/C7/Inputs!$D$9</f>
        <v/>
      </c>
      <c r="D11" s="5">
        <f>IF(Inputs!$E$13=1,IF((Inputs!$E$14*((D6)+(Annual!D77))/(1-D5-Inputs!$E$16)-Inputs!$E$15*(D5*((D6)+(Annual!D77))/(1-D5-Inputs!$E$16)+D6-Inputs!$E$65*((D6)+(Annual!D77))/(1-D5-Inputs!$E$16))&lt;=Inputs!$E$16*((D6)+(Annual!D77))/(1-D5-Inputs!$E$16)),((D6)+(Annual!D77))/(1-D5-Inputs!$E$16),((1-Inputs!$E$15)*(D6)+(Annual!D77))/(1-D5-Inputs!$E$14+Inputs!$E$15*(D5-Inputs!$E$65))),((D6)+(Annual!D77))/(1-D5))/D7/Inputs!$E$9</f>
        <v/>
      </c>
      <c r="E11" s="5">
        <f>IF(Inputs!$F$13=1,IF((Inputs!$F$14*((E6)+(Annual!D128))/(1-E5-Inputs!$F$16)-Inputs!$F$15*(E5*((E6)+(Annual!D128))/(1-E5-Inputs!$F$16)+E6-Inputs!$F$65*((E6)+(Annual!D128))/(1-E5-Inputs!$F$16))&lt;=Inputs!$F$16*((E6)+(Annual!D128))/(1-E5-Inputs!$F$16)),((E6)+(Annual!D128))/(1-E5-Inputs!$F$16),((1-Inputs!$F$15)*(E6)+(Annual!D128))/(1-E5-Inputs!$F$14+Inputs!$F$15*(E5-Inputs!$F$65))),((E6)+(Annual!D128))/(1-E5))/E7/Inputs!$F$9</f>
        <v/>
      </c>
    </row>
    <row r="12">
      <c r="A12" t="inlineStr">
        <is>
          <t>Capture used (Y2)</t>
        </is>
      </c>
      <c r="C12" s="6">
        <f>Inputs!$D$24*(1+Inputs!$D$25)</f>
        <v/>
      </c>
      <c r="D12" s="6">
        <f>Inputs!$E$24*(1+Inputs!$E$25)</f>
        <v/>
      </c>
      <c r="E12" s="6">
        <f>Inputs!$F$24*(1+Inputs!$F$25)</f>
        <v/>
      </c>
    </row>
    <row r="13">
      <c r="A13" t="inlineStr">
        <is>
          <t>Accessible share used</t>
        </is>
      </c>
      <c r="C13" s="6">
        <f>Inputs!$D$23</f>
        <v/>
      </c>
      <c r="D13" s="6">
        <f>Inputs!$E$23</f>
        <v/>
      </c>
      <c r="E13" s="6">
        <f>Inputs!$F$23</f>
        <v/>
      </c>
    </row>
    <row r="14">
      <c r="A14" t="inlineStr">
        <is>
          <t>Non-highway transactions/day</t>
        </is>
      </c>
      <c r="C14" s="5">
        <f>Inputs!$D$27</f>
        <v/>
      </c>
      <c r="D14" s="5">
        <f>Inputs!$E$27</f>
        <v/>
      </c>
      <c r="E14" s="5">
        <f>Inputs!$F$27</f>
        <v/>
      </c>
    </row>
    <row r="15">
      <c r="A15" t="inlineStr">
        <is>
          <t>Break-even passing vehicles/day (two-way)</t>
        </is>
      </c>
      <c r="C15" s="5">
        <f>MAX(0,C10-C14)/(C13*C12)</f>
        <v/>
      </c>
      <c r="D15" s="5">
        <f>MAX(0,D10-D14)/(D13*D12)</f>
        <v/>
      </c>
      <c r="E15" s="5">
        <f>MAX(0,E10-E14)/(E13*E12)</f>
        <v/>
      </c>
    </row>
    <row r="16">
      <c r="A16" t="inlineStr">
        <is>
          <t>Transactions/day for 4-year cash payback</t>
        </is>
      </c>
      <c r="C16" s="5">
        <f>IF(Inputs!$D$13=1,IF((Inputs!$D$14*((C6)+(INDEX(Capex!$C$15:$E$15,1,Inputs!$E$17)/4/IF(Inputs!$D$13=1,1,(1-Inputs!$D$11*0.6))))/(1-C5-Inputs!$D$16)-Inputs!$D$15*(C5*((C6)+(INDEX(Capex!$C$15:$E$15,1,Inputs!$E$17)/4/IF(Inputs!$D$13=1,1,(1-Inputs!$D$11*0.6))))/(1-C5-Inputs!$D$16)+C6-Inputs!$D$65*((C6)+(INDEX(Capex!$C$15:$E$15,1,Inputs!$E$17)/4/IF(Inputs!$D$13=1,1,(1-Inputs!$D$11*0.6))))/(1-C5-Inputs!$D$16))&lt;=Inputs!$D$16*((C6)+(INDEX(Capex!$C$15:$E$15,1,Inputs!$E$17)/4/IF(Inputs!$D$13=1,1,(1-Inputs!$D$11*0.6))))/(1-C5-Inputs!$D$16)),((C6)+(INDEX(Capex!$C$15:$E$15,1,Inputs!$E$17)/4/IF(Inputs!$D$13=1,1,(1-Inputs!$D$11*0.6))))/(1-C5-Inputs!$D$16),((1-Inputs!$D$15)*(C6)+(INDEX(Capex!$C$15:$E$15,1,Inputs!$E$17)/4/IF(Inputs!$D$13=1,1,(1-Inputs!$D$11*0.6))))/(1-C5-Inputs!$D$14+Inputs!$D$15*(C5-Inputs!$D$65))),((C6)+(INDEX(Capex!$C$15:$E$15,1,Inputs!$E$17)/4/IF(Inputs!$D$13=1,1,(1-Inputs!$D$11*0.6))))/(1-C5))/C7/Inputs!$D$9</f>
        <v/>
      </c>
      <c r="D16" s="5">
        <f>IF(Inputs!$E$13=1,IF((Inputs!$E$14*((D6)+(INDEX(Capex!$C$15:$E$15,1,Inputs!$E$17)/4/IF(Inputs!$E$13=1,1,(1-Inputs!$E$11*0.6))))/(1-D5-Inputs!$E$16)-Inputs!$E$15*(D5*((D6)+(INDEX(Capex!$C$15:$E$15,1,Inputs!$E$17)/4/IF(Inputs!$E$13=1,1,(1-Inputs!$E$11*0.6))))/(1-D5-Inputs!$E$16)+D6-Inputs!$E$65*((D6)+(INDEX(Capex!$C$15:$E$15,1,Inputs!$E$17)/4/IF(Inputs!$E$13=1,1,(1-Inputs!$E$11*0.6))))/(1-D5-Inputs!$E$16))&lt;=Inputs!$E$16*((D6)+(INDEX(Capex!$C$15:$E$15,1,Inputs!$E$17)/4/IF(Inputs!$E$13=1,1,(1-Inputs!$E$11*0.6))))/(1-D5-Inputs!$E$16)),((D6)+(INDEX(Capex!$C$15:$E$15,1,Inputs!$E$17)/4/IF(Inputs!$E$13=1,1,(1-Inputs!$E$11*0.6))))/(1-D5-Inputs!$E$16),((1-Inputs!$E$15)*(D6)+(INDEX(Capex!$C$15:$E$15,1,Inputs!$E$17)/4/IF(Inputs!$E$13=1,1,(1-Inputs!$E$11*0.6))))/(1-D5-Inputs!$E$14+Inputs!$E$15*(D5-Inputs!$E$65))),((D6)+(INDEX(Capex!$C$15:$E$15,1,Inputs!$E$17)/4/IF(Inputs!$E$13=1,1,(1-Inputs!$E$11*0.6))))/(1-D5))/D7/Inputs!$E$9</f>
        <v/>
      </c>
      <c r="E16" s="5">
        <f>IF(Inputs!$F$13=1,IF((Inputs!$F$14*((E6)+(INDEX(Capex!$C$15:$E$15,1,Inputs!$E$17)/4/IF(Inputs!$F$13=1,1,(1-Inputs!$F$11*0.6))))/(1-E5-Inputs!$F$16)-Inputs!$F$15*(E5*((E6)+(INDEX(Capex!$C$15:$E$15,1,Inputs!$E$17)/4/IF(Inputs!$F$13=1,1,(1-Inputs!$F$11*0.6))))/(1-E5-Inputs!$F$16)+E6-Inputs!$F$65*((E6)+(INDEX(Capex!$C$15:$E$15,1,Inputs!$E$17)/4/IF(Inputs!$F$13=1,1,(1-Inputs!$F$11*0.6))))/(1-E5-Inputs!$F$16))&lt;=Inputs!$F$16*((E6)+(INDEX(Capex!$C$15:$E$15,1,Inputs!$E$17)/4/IF(Inputs!$F$13=1,1,(1-Inputs!$F$11*0.6))))/(1-E5-Inputs!$F$16)),((E6)+(INDEX(Capex!$C$15:$E$15,1,Inputs!$E$17)/4/IF(Inputs!$F$13=1,1,(1-Inputs!$F$11*0.6))))/(1-E5-Inputs!$F$16),((1-Inputs!$F$15)*(E6)+(INDEX(Capex!$C$15:$E$15,1,Inputs!$E$17)/4/IF(Inputs!$F$13=1,1,(1-Inputs!$F$11*0.6))))/(1-E5-Inputs!$F$14+Inputs!$F$15*(E5-Inputs!$F$65))),((E6)+(INDEX(Capex!$C$15:$E$15,1,Inputs!$E$17)/4/IF(Inputs!$F$13=1,1,(1-Inputs!$F$11*0.6))))/(1-E5))/E7/Inputs!$F$9</f>
        <v/>
      </c>
    </row>
    <row r="17">
      <c r="A17" t="inlineStr">
        <is>
          <t>Passing vehicles/day for 4-year payback</t>
        </is>
      </c>
      <c r="C17" s="5">
        <f>MAX(0,C16-C14)/(C13*C12)</f>
        <v/>
      </c>
      <c r="D17" s="5">
        <f>MAX(0,D16-D14)/(D13*D12)</f>
        <v/>
      </c>
      <c r="E17" s="5">
        <f>MAX(0,E16-E14)/(E13*E12)</f>
        <v/>
      </c>
    </row>
    <row r="18">
      <c r="A18" t="inlineStr">
        <is>
          <t>Modelled Year-2 transactions/day</t>
        </is>
      </c>
      <c r="C18" s="5">
        <f>Annual!D5</f>
        <v/>
      </c>
      <c r="D18" s="5">
        <f>Annual!D56</f>
        <v/>
      </c>
      <c r="E18" s="5">
        <f>Annual!D107</f>
        <v/>
      </c>
    </row>
    <row r="19">
      <c r="A19" t="inlineStr">
        <is>
          <t>Safety margin vs EBITDA break-even</t>
        </is>
      </c>
      <c r="C19" s="6">
        <f>C18/C10-1</f>
        <v/>
      </c>
      <c r="D19" s="6">
        <f>D18/D10-1</f>
        <v/>
      </c>
      <c r="E19" s="6">
        <f>E18/E10-1</f>
        <v/>
      </c>
    </row>
    <row r="22">
      <c r="A22" s="18" t="inlineStr">
        <is>
          <t>Passing vehicles/day (two-way) needed for EBITDA break-even — BASE scenario cost structure &amp; access/other tx</t>
        </is>
      </c>
    </row>
    <row r="23">
      <c r="A23" t="inlineStr">
        <is>
          <t>Rows: capture rate of accessible traffic · Columns: average ticket (AMD incl. VAT, Year-1 prices)</t>
        </is>
      </c>
    </row>
    <row r="24">
      <c r="B24" s="18" t="inlineStr">
        <is>
          <t>capture \ ticket</t>
        </is>
      </c>
      <c r="C24" s="19" t="n">
        <v>1500</v>
      </c>
      <c r="D24" s="19" t="n">
        <v>1800</v>
      </c>
      <c r="E24" s="19" t="n">
        <v>2100</v>
      </c>
      <c r="F24" s="19" t="n">
        <v>2400</v>
      </c>
      <c r="G24" s="19" t="n">
        <v>2700</v>
      </c>
      <c r="H24" s="19" t="n">
        <v>3000</v>
      </c>
      <c r="I24" s="19" t="n">
        <v>3300</v>
      </c>
      <c r="J24" s="19" t="n">
        <v>3600</v>
      </c>
      <c r="K24" s="19" t="n">
        <v>4000</v>
      </c>
    </row>
    <row r="25">
      <c r="B25" s="20" t="n">
        <v>0.008</v>
      </c>
      <c r="C25" s="5">
        <f>MAX(0,($E$9/(C$24*(1+Inputs!$E$28)/(1+Inputs!$E$10*(1-Inputs!$E$13)))/Inputs!$E$9)-Inputs!$E$27)/(Inputs!$E$23*$B25)</f>
        <v/>
      </c>
      <c r="D25" s="5">
        <f>MAX(0,($E$9/(D$24*(1+Inputs!$E$28)/(1+Inputs!$E$10*(1-Inputs!$E$13)))/Inputs!$E$9)-Inputs!$E$27)/(Inputs!$E$23*$B25)</f>
        <v/>
      </c>
      <c r="E25" s="5">
        <f>MAX(0,($E$9/(E$24*(1+Inputs!$E$28)/(1+Inputs!$E$10*(1-Inputs!$E$13)))/Inputs!$E$9)-Inputs!$E$27)/(Inputs!$E$23*$B25)</f>
        <v/>
      </c>
      <c r="F25" s="5">
        <f>MAX(0,($E$9/(F$24*(1+Inputs!$E$28)/(1+Inputs!$E$10*(1-Inputs!$E$13)))/Inputs!$E$9)-Inputs!$E$27)/(Inputs!$E$23*$B25)</f>
        <v/>
      </c>
      <c r="G25" s="5">
        <f>MAX(0,($E$9/(G$24*(1+Inputs!$E$28)/(1+Inputs!$E$10*(1-Inputs!$E$13)))/Inputs!$E$9)-Inputs!$E$27)/(Inputs!$E$23*$B25)</f>
        <v/>
      </c>
      <c r="H25" s="5">
        <f>MAX(0,($E$9/(H$24*(1+Inputs!$E$28)/(1+Inputs!$E$10*(1-Inputs!$E$13)))/Inputs!$E$9)-Inputs!$E$27)/(Inputs!$E$23*$B25)</f>
        <v/>
      </c>
      <c r="I25" s="5">
        <f>MAX(0,($E$9/(I$24*(1+Inputs!$E$28)/(1+Inputs!$E$10*(1-Inputs!$E$13)))/Inputs!$E$9)-Inputs!$E$27)/(Inputs!$E$23*$B25)</f>
        <v/>
      </c>
      <c r="J25" s="5">
        <f>MAX(0,($E$9/(J$24*(1+Inputs!$E$28)/(1+Inputs!$E$10*(1-Inputs!$E$13)))/Inputs!$E$9)-Inputs!$E$27)/(Inputs!$E$23*$B25)</f>
        <v/>
      </c>
      <c r="K25" s="5">
        <f>MAX(0,($E$9/(K$24*(1+Inputs!$E$28)/(1+Inputs!$E$10*(1-Inputs!$E$13)))/Inputs!$E$9)-Inputs!$E$27)/(Inputs!$E$23*$B25)</f>
        <v/>
      </c>
    </row>
    <row r="26">
      <c r="B26" s="20" t="n">
        <v>0.01</v>
      </c>
      <c r="C26" s="5">
        <f>MAX(0,($E$9/(C$24*(1+Inputs!$E$28)/(1+Inputs!$E$10*(1-Inputs!$E$13)))/Inputs!$E$9)-Inputs!$E$27)/(Inputs!$E$23*$B26)</f>
        <v/>
      </c>
      <c r="D26" s="5">
        <f>MAX(0,($E$9/(D$24*(1+Inputs!$E$28)/(1+Inputs!$E$10*(1-Inputs!$E$13)))/Inputs!$E$9)-Inputs!$E$27)/(Inputs!$E$23*$B26)</f>
        <v/>
      </c>
      <c r="E26" s="5">
        <f>MAX(0,($E$9/(E$24*(1+Inputs!$E$28)/(1+Inputs!$E$10*(1-Inputs!$E$13)))/Inputs!$E$9)-Inputs!$E$27)/(Inputs!$E$23*$B26)</f>
        <v/>
      </c>
      <c r="F26" s="5">
        <f>MAX(0,($E$9/(F$24*(1+Inputs!$E$28)/(1+Inputs!$E$10*(1-Inputs!$E$13)))/Inputs!$E$9)-Inputs!$E$27)/(Inputs!$E$23*$B26)</f>
        <v/>
      </c>
      <c r="G26" s="5">
        <f>MAX(0,($E$9/(G$24*(1+Inputs!$E$28)/(1+Inputs!$E$10*(1-Inputs!$E$13)))/Inputs!$E$9)-Inputs!$E$27)/(Inputs!$E$23*$B26)</f>
        <v/>
      </c>
      <c r="H26" s="5">
        <f>MAX(0,($E$9/(H$24*(1+Inputs!$E$28)/(1+Inputs!$E$10*(1-Inputs!$E$13)))/Inputs!$E$9)-Inputs!$E$27)/(Inputs!$E$23*$B26)</f>
        <v/>
      </c>
      <c r="I26" s="5">
        <f>MAX(0,($E$9/(I$24*(1+Inputs!$E$28)/(1+Inputs!$E$10*(1-Inputs!$E$13)))/Inputs!$E$9)-Inputs!$E$27)/(Inputs!$E$23*$B26)</f>
        <v/>
      </c>
      <c r="J26" s="5">
        <f>MAX(0,($E$9/(J$24*(1+Inputs!$E$28)/(1+Inputs!$E$10*(1-Inputs!$E$13)))/Inputs!$E$9)-Inputs!$E$27)/(Inputs!$E$23*$B26)</f>
        <v/>
      </c>
      <c r="K26" s="5">
        <f>MAX(0,($E$9/(K$24*(1+Inputs!$E$28)/(1+Inputs!$E$10*(1-Inputs!$E$13)))/Inputs!$E$9)-Inputs!$E$27)/(Inputs!$E$23*$B26)</f>
        <v/>
      </c>
    </row>
    <row r="27">
      <c r="B27" s="20" t="n">
        <v>0.012</v>
      </c>
      <c r="C27" s="5">
        <f>MAX(0,($E$9/(C$24*(1+Inputs!$E$28)/(1+Inputs!$E$10*(1-Inputs!$E$13)))/Inputs!$E$9)-Inputs!$E$27)/(Inputs!$E$23*$B27)</f>
        <v/>
      </c>
      <c r="D27" s="5">
        <f>MAX(0,($E$9/(D$24*(1+Inputs!$E$28)/(1+Inputs!$E$10*(1-Inputs!$E$13)))/Inputs!$E$9)-Inputs!$E$27)/(Inputs!$E$23*$B27)</f>
        <v/>
      </c>
      <c r="E27" s="5">
        <f>MAX(0,($E$9/(E$24*(1+Inputs!$E$28)/(1+Inputs!$E$10*(1-Inputs!$E$13)))/Inputs!$E$9)-Inputs!$E$27)/(Inputs!$E$23*$B27)</f>
        <v/>
      </c>
      <c r="F27" s="5">
        <f>MAX(0,($E$9/(F$24*(1+Inputs!$E$28)/(1+Inputs!$E$10*(1-Inputs!$E$13)))/Inputs!$E$9)-Inputs!$E$27)/(Inputs!$E$23*$B27)</f>
        <v/>
      </c>
      <c r="G27" s="5">
        <f>MAX(0,($E$9/(G$24*(1+Inputs!$E$28)/(1+Inputs!$E$10*(1-Inputs!$E$13)))/Inputs!$E$9)-Inputs!$E$27)/(Inputs!$E$23*$B27)</f>
        <v/>
      </c>
      <c r="H27" s="5">
        <f>MAX(0,($E$9/(H$24*(1+Inputs!$E$28)/(1+Inputs!$E$10*(1-Inputs!$E$13)))/Inputs!$E$9)-Inputs!$E$27)/(Inputs!$E$23*$B27)</f>
        <v/>
      </c>
      <c r="I27" s="5">
        <f>MAX(0,($E$9/(I$24*(1+Inputs!$E$28)/(1+Inputs!$E$10*(1-Inputs!$E$13)))/Inputs!$E$9)-Inputs!$E$27)/(Inputs!$E$23*$B27)</f>
        <v/>
      </c>
      <c r="J27" s="5">
        <f>MAX(0,($E$9/(J$24*(1+Inputs!$E$28)/(1+Inputs!$E$10*(1-Inputs!$E$13)))/Inputs!$E$9)-Inputs!$E$27)/(Inputs!$E$23*$B27)</f>
        <v/>
      </c>
      <c r="K27" s="5">
        <f>MAX(0,($E$9/(K$24*(1+Inputs!$E$28)/(1+Inputs!$E$10*(1-Inputs!$E$13)))/Inputs!$E$9)-Inputs!$E$27)/(Inputs!$E$23*$B27)</f>
        <v/>
      </c>
    </row>
    <row r="28">
      <c r="B28" s="20" t="n">
        <v>0.015</v>
      </c>
      <c r="C28" s="5">
        <f>MAX(0,($E$9/(C$24*(1+Inputs!$E$28)/(1+Inputs!$E$10*(1-Inputs!$E$13)))/Inputs!$E$9)-Inputs!$E$27)/(Inputs!$E$23*$B28)</f>
        <v/>
      </c>
      <c r="D28" s="5">
        <f>MAX(0,($E$9/(D$24*(1+Inputs!$E$28)/(1+Inputs!$E$10*(1-Inputs!$E$13)))/Inputs!$E$9)-Inputs!$E$27)/(Inputs!$E$23*$B28)</f>
        <v/>
      </c>
      <c r="E28" s="5">
        <f>MAX(0,($E$9/(E$24*(1+Inputs!$E$28)/(1+Inputs!$E$10*(1-Inputs!$E$13)))/Inputs!$E$9)-Inputs!$E$27)/(Inputs!$E$23*$B28)</f>
        <v/>
      </c>
      <c r="F28" s="5">
        <f>MAX(0,($E$9/(F$24*(1+Inputs!$E$28)/(1+Inputs!$E$10*(1-Inputs!$E$13)))/Inputs!$E$9)-Inputs!$E$27)/(Inputs!$E$23*$B28)</f>
        <v/>
      </c>
      <c r="G28" s="5">
        <f>MAX(0,($E$9/(G$24*(1+Inputs!$E$28)/(1+Inputs!$E$10*(1-Inputs!$E$13)))/Inputs!$E$9)-Inputs!$E$27)/(Inputs!$E$23*$B28)</f>
        <v/>
      </c>
      <c r="H28" s="5">
        <f>MAX(0,($E$9/(H$24*(1+Inputs!$E$28)/(1+Inputs!$E$10*(1-Inputs!$E$13)))/Inputs!$E$9)-Inputs!$E$27)/(Inputs!$E$23*$B28)</f>
        <v/>
      </c>
      <c r="I28" s="5">
        <f>MAX(0,($E$9/(I$24*(1+Inputs!$E$28)/(1+Inputs!$E$10*(1-Inputs!$E$13)))/Inputs!$E$9)-Inputs!$E$27)/(Inputs!$E$23*$B28)</f>
        <v/>
      </c>
      <c r="J28" s="5">
        <f>MAX(0,($E$9/(J$24*(1+Inputs!$E$28)/(1+Inputs!$E$10*(1-Inputs!$E$13)))/Inputs!$E$9)-Inputs!$E$27)/(Inputs!$E$23*$B28)</f>
        <v/>
      </c>
      <c r="K28" s="5">
        <f>MAX(0,($E$9/(K$24*(1+Inputs!$E$28)/(1+Inputs!$E$10*(1-Inputs!$E$13)))/Inputs!$E$9)-Inputs!$E$27)/(Inputs!$E$23*$B28)</f>
        <v/>
      </c>
    </row>
    <row r="29">
      <c r="B29" s="20" t="n">
        <v>0.018</v>
      </c>
      <c r="C29" s="5">
        <f>MAX(0,($E$9/(C$24*(1+Inputs!$E$28)/(1+Inputs!$E$10*(1-Inputs!$E$13)))/Inputs!$E$9)-Inputs!$E$27)/(Inputs!$E$23*$B29)</f>
        <v/>
      </c>
      <c r="D29" s="5">
        <f>MAX(0,($E$9/(D$24*(1+Inputs!$E$28)/(1+Inputs!$E$10*(1-Inputs!$E$13)))/Inputs!$E$9)-Inputs!$E$27)/(Inputs!$E$23*$B29)</f>
        <v/>
      </c>
      <c r="E29" s="5">
        <f>MAX(0,($E$9/(E$24*(1+Inputs!$E$28)/(1+Inputs!$E$10*(1-Inputs!$E$13)))/Inputs!$E$9)-Inputs!$E$27)/(Inputs!$E$23*$B29)</f>
        <v/>
      </c>
      <c r="F29" s="5">
        <f>MAX(0,($E$9/(F$24*(1+Inputs!$E$28)/(1+Inputs!$E$10*(1-Inputs!$E$13)))/Inputs!$E$9)-Inputs!$E$27)/(Inputs!$E$23*$B29)</f>
        <v/>
      </c>
      <c r="G29" s="5">
        <f>MAX(0,($E$9/(G$24*(1+Inputs!$E$28)/(1+Inputs!$E$10*(1-Inputs!$E$13)))/Inputs!$E$9)-Inputs!$E$27)/(Inputs!$E$23*$B29)</f>
        <v/>
      </c>
      <c r="H29" s="5">
        <f>MAX(0,($E$9/(H$24*(1+Inputs!$E$28)/(1+Inputs!$E$10*(1-Inputs!$E$13)))/Inputs!$E$9)-Inputs!$E$27)/(Inputs!$E$23*$B29)</f>
        <v/>
      </c>
      <c r="I29" s="5">
        <f>MAX(0,($E$9/(I$24*(1+Inputs!$E$28)/(1+Inputs!$E$10*(1-Inputs!$E$13)))/Inputs!$E$9)-Inputs!$E$27)/(Inputs!$E$23*$B29)</f>
        <v/>
      </c>
      <c r="J29" s="5">
        <f>MAX(0,($E$9/(J$24*(1+Inputs!$E$28)/(1+Inputs!$E$10*(1-Inputs!$E$13)))/Inputs!$E$9)-Inputs!$E$27)/(Inputs!$E$23*$B29)</f>
        <v/>
      </c>
      <c r="K29" s="5">
        <f>MAX(0,($E$9/(K$24*(1+Inputs!$E$28)/(1+Inputs!$E$10*(1-Inputs!$E$13)))/Inputs!$E$9)-Inputs!$E$27)/(Inputs!$E$23*$B29)</f>
        <v/>
      </c>
    </row>
    <row r="30">
      <c r="B30" s="20" t="n">
        <v>0.022</v>
      </c>
      <c r="C30" s="5">
        <f>MAX(0,($E$9/(C$24*(1+Inputs!$E$28)/(1+Inputs!$E$10*(1-Inputs!$E$13)))/Inputs!$E$9)-Inputs!$E$27)/(Inputs!$E$23*$B30)</f>
        <v/>
      </c>
      <c r="D30" s="5">
        <f>MAX(0,($E$9/(D$24*(1+Inputs!$E$28)/(1+Inputs!$E$10*(1-Inputs!$E$13)))/Inputs!$E$9)-Inputs!$E$27)/(Inputs!$E$23*$B30)</f>
        <v/>
      </c>
      <c r="E30" s="5">
        <f>MAX(0,($E$9/(E$24*(1+Inputs!$E$28)/(1+Inputs!$E$10*(1-Inputs!$E$13)))/Inputs!$E$9)-Inputs!$E$27)/(Inputs!$E$23*$B30)</f>
        <v/>
      </c>
      <c r="F30" s="5">
        <f>MAX(0,($E$9/(F$24*(1+Inputs!$E$28)/(1+Inputs!$E$10*(1-Inputs!$E$13)))/Inputs!$E$9)-Inputs!$E$27)/(Inputs!$E$23*$B30)</f>
        <v/>
      </c>
      <c r="G30" s="5">
        <f>MAX(0,($E$9/(G$24*(1+Inputs!$E$28)/(1+Inputs!$E$10*(1-Inputs!$E$13)))/Inputs!$E$9)-Inputs!$E$27)/(Inputs!$E$23*$B30)</f>
        <v/>
      </c>
      <c r="H30" s="5">
        <f>MAX(0,($E$9/(H$24*(1+Inputs!$E$28)/(1+Inputs!$E$10*(1-Inputs!$E$13)))/Inputs!$E$9)-Inputs!$E$27)/(Inputs!$E$23*$B30)</f>
        <v/>
      </c>
      <c r="I30" s="5">
        <f>MAX(0,($E$9/(I$24*(1+Inputs!$E$28)/(1+Inputs!$E$10*(1-Inputs!$E$13)))/Inputs!$E$9)-Inputs!$E$27)/(Inputs!$E$23*$B30)</f>
        <v/>
      </c>
      <c r="J30" s="5">
        <f>MAX(0,($E$9/(J$24*(1+Inputs!$E$28)/(1+Inputs!$E$10*(1-Inputs!$E$13)))/Inputs!$E$9)-Inputs!$E$27)/(Inputs!$E$23*$B30)</f>
        <v/>
      </c>
      <c r="K30" s="5">
        <f>MAX(0,($E$9/(K$24*(1+Inputs!$E$28)/(1+Inputs!$E$10*(1-Inputs!$E$13)))/Inputs!$E$9)-Inputs!$E$27)/(Inputs!$E$23*$B30)</f>
        <v/>
      </c>
    </row>
    <row r="31">
      <c r="B31" s="20" t="n">
        <v>0.026</v>
      </c>
      <c r="C31" s="5">
        <f>MAX(0,($E$9/(C$24*(1+Inputs!$E$28)/(1+Inputs!$E$10*(1-Inputs!$E$13)))/Inputs!$E$9)-Inputs!$E$27)/(Inputs!$E$23*$B31)</f>
        <v/>
      </c>
      <c r="D31" s="5">
        <f>MAX(0,($E$9/(D$24*(1+Inputs!$E$28)/(1+Inputs!$E$10*(1-Inputs!$E$13)))/Inputs!$E$9)-Inputs!$E$27)/(Inputs!$E$23*$B31)</f>
        <v/>
      </c>
      <c r="E31" s="5">
        <f>MAX(0,($E$9/(E$24*(1+Inputs!$E$28)/(1+Inputs!$E$10*(1-Inputs!$E$13)))/Inputs!$E$9)-Inputs!$E$27)/(Inputs!$E$23*$B31)</f>
        <v/>
      </c>
      <c r="F31" s="5">
        <f>MAX(0,($E$9/(F$24*(1+Inputs!$E$28)/(1+Inputs!$E$10*(1-Inputs!$E$13)))/Inputs!$E$9)-Inputs!$E$27)/(Inputs!$E$23*$B31)</f>
        <v/>
      </c>
      <c r="G31" s="5">
        <f>MAX(0,($E$9/(G$24*(1+Inputs!$E$28)/(1+Inputs!$E$10*(1-Inputs!$E$13)))/Inputs!$E$9)-Inputs!$E$27)/(Inputs!$E$23*$B31)</f>
        <v/>
      </c>
      <c r="H31" s="5">
        <f>MAX(0,($E$9/(H$24*(1+Inputs!$E$28)/(1+Inputs!$E$10*(1-Inputs!$E$13)))/Inputs!$E$9)-Inputs!$E$27)/(Inputs!$E$23*$B31)</f>
        <v/>
      </c>
      <c r="I31" s="5">
        <f>MAX(0,($E$9/(I$24*(1+Inputs!$E$28)/(1+Inputs!$E$10*(1-Inputs!$E$13)))/Inputs!$E$9)-Inputs!$E$27)/(Inputs!$E$23*$B31)</f>
        <v/>
      </c>
      <c r="J31" s="5">
        <f>MAX(0,($E$9/(J$24*(1+Inputs!$E$28)/(1+Inputs!$E$10*(1-Inputs!$E$13)))/Inputs!$E$9)-Inputs!$E$27)/(Inputs!$E$23*$B31)</f>
        <v/>
      </c>
      <c r="K31" s="5">
        <f>MAX(0,($E$9/(K$24*(1+Inputs!$E$28)/(1+Inputs!$E$10*(1-Inputs!$E$13)))/Inputs!$E$9)-Inputs!$E$27)/(Inputs!$E$23*$B31)</f>
        <v/>
      </c>
    </row>
    <row r="32">
      <c r="B32" s="20" t="n">
        <v>0.03</v>
      </c>
      <c r="C32" s="5">
        <f>MAX(0,($E$9/(C$24*(1+Inputs!$E$28)/(1+Inputs!$E$10*(1-Inputs!$E$13)))/Inputs!$E$9)-Inputs!$E$27)/(Inputs!$E$23*$B32)</f>
        <v/>
      </c>
      <c r="D32" s="5">
        <f>MAX(0,($E$9/(D$24*(1+Inputs!$E$28)/(1+Inputs!$E$10*(1-Inputs!$E$13)))/Inputs!$E$9)-Inputs!$E$27)/(Inputs!$E$23*$B32)</f>
        <v/>
      </c>
      <c r="E32" s="5">
        <f>MAX(0,($E$9/(E$24*(1+Inputs!$E$28)/(1+Inputs!$E$10*(1-Inputs!$E$13)))/Inputs!$E$9)-Inputs!$E$27)/(Inputs!$E$23*$B32)</f>
        <v/>
      </c>
      <c r="F32" s="5">
        <f>MAX(0,($E$9/(F$24*(1+Inputs!$E$28)/(1+Inputs!$E$10*(1-Inputs!$E$13)))/Inputs!$E$9)-Inputs!$E$27)/(Inputs!$E$23*$B32)</f>
        <v/>
      </c>
      <c r="G32" s="5">
        <f>MAX(0,($E$9/(G$24*(1+Inputs!$E$28)/(1+Inputs!$E$10*(1-Inputs!$E$13)))/Inputs!$E$9)-Inputs!$E$27)/(Inputs!$E$23*$B32)</f>
        <v/>
      </c>
      <c r="H32" s="5">
        <f>MAX(0,($E$9/(H$24*(1+Inputs!$E$28)/(1+Inputs!$E$10*(1-Inputs!$E$13)))/Inputs!$E$9)-Inputs!$E$27)/(Inputs!$E$23*$B32)</f>
        <v/>
      </c>
      <c r="I32" s="5">
        <f>MAX(0,($E$9/(I$24*(1+Inputs!$E$28)/(1+Inputs!$E$10*(1-Inputs!$E$13)))/Inputs!$E$9)-Inputs!$E$27)/(Inputs!$E$23*$B32)</f>
        <v/>
      </c>
      <c r="J32" s="5">
        <f>MAX(0,($E$9/(J$24*(1+Inputs!$E$28)/(1+Inputs!$E$10*(1-Inputs!$E$13)))/Inputs!$E$9)-Inputs!$E$27)/(Inputs!$E$23*$B32)</f>
        <v/>
      </c>
      <c r="K32" s="5">
        <f>MAX(0,($E$9/(K$24*(1+Inputs!$E$28)/(1+Inputs!$E$10*(1-Inputs!$E$13)))/Inputs!$E$9)-Inputs!$E$27)/(Inputs!$E$23*$B32)</f>
        <v/>
      </c>
    </row>
    <row r="33">
      <c r="B33" s="20" t="n">
        <v>0.035</v>
      </c>
      <c r="C33" s="5">
        <f>MAX(0,($E$9/(C$24*(1+Inputs!$E$28)/(1+Inputs!$E$10*(1-Inputs!$E$13)))/Inputs!$E$9)-Inputs!$E$27)/(Inputs!$E$23*$B33)</f>
        <v/>
      </c>
      <c r="D33" s="5">
        <f>MAX(0,($E$9/(D$24*(1+Inputs!$E$28)/(1+Inputs!$E$10*(1-Inputs!$E$13)))/Inputs!$E$9)-Inputs!$E$27)/(Inputs!$E$23*$B33)</f>
        <v/>
      </c>
      <c r="E33" s="5">
        <f>MAX(0,($E$9/(E$24*(1+Inputs!$E$28)/(1+Inputs!$E$10*(1-Inputs!$E$13)))/Inputs!$E$9)-Inputs!$E$27)/(Inputs!$E$23*$B33)</f>
        <v/>
      </c>
      <c r="F33" s="5">
        <f>MAX(0,($E$9/(F$24*(1+Inputs!$E$28)/(1+Inputs!$E$10*(1-Inputs!$E$13)))/Inputs!$E$9)-Inputs!$E$27)/(Inputs!$E$23*$B33)</f>
        <v/>
      </c>
      <c r="G33" s="5">
        <f>MAX(0,($E$9/(G$24*(1+Inputs!$E$28)/(1+Inputs!$E$10*(1-Inputs!$E$13)))/Inputs!$E$9)-Inputs!$E$27)/(Inputs!$E$23*$B33)</f>
        <v/>
      </c>
      <c r="H33" s="5">
        <f>MAX(0,($E$9/(H$24*(1+Inputs!$E$28)/(1+Inputs!$E$10*(1-Inputs!$E$13)))/Inputs!$E$9)-Inputs!$E$27)/(Inputs!$E$23*$B33)</f>
        <v/>
      </c>
      <c r="I33" s="5">
        <f>MAX(0,($E$9/(I$24*(1+Inputs!$E$28)/(1+Inputs!$E$10*(1-Inputs!$E$13)))/Inputs!$E$9)-Inputs!$E$27)/(Inputs!$E$23*$B33)</f>
        <v/>
      </c>
      <c r="J33" s="5">
        <f>MAX(0,($E$9/(J$24*(1+Inputs!$E$28)/(1+Inputs!$E$10*(1-Inputs!$E$13)))/Inputs!$E$9)-Inputs!$E$27)/(Inputs!$E$23*$B33)</f>
        <v/>
      </c>
      <c r="K33" s="5">
        <f>MAX(0,($E$9/(K$24*(1+Inputs!$E$28)/(1+Inputs!$E$10*(1-Inputs!$E$13)))/Inputs!$E$9)-Inputs!$E$27)/(Inputs!$E$23*$B33)</f>
        <v/>
      </c>
    </row>
    <row r="34">
      <c r="B34" s="20" t="n">
        <v>0.04</v>
      </c>
      <c r="C34" s="5">
        <f>MAX(0,($E$9/(C$24*(1+Inputs!$E$28)/(1+Inputs!$E$10*(1-Inputs!$E$13)))/Inputs!$E$9)-Inputs!$E$27)/(Inputs!$E$23*$B34)</f>
        <v/>
      </c>
      <c r="D34" s="5">
        <f>MAX(0,($E$9/(D$24*(1+Inputs!$E$28)/(1+Inputs!$E$10*(1-Inputs!$E$13)))/Inputs!$E$9)-Inputs!$E$27)/(Inputs!$E$23*$B34)</f>
        <v/>
      </c>
      <c r="E34" s="5">
        <f>MAX(0,($E$9/(E$24*(1+Inputs!$E$28)/(1+Inputs!$E$10*(1-Inputs!$E$13)))/Inputs!$E$9)-Inputs!$E$27)/(Inputs!$E$23*$B34)</f>
        <v/>
      </c>
      <c r="F34" s="5">
        <f>MAX(0,($E$9/(F$24*(1+Inputs!$E$28)/(1+Inputs!$E$10*(1-Inputs!$E$13)))/Inputs!$E$9)-Inputs!$E$27)/(Inputs!$E$23*$B34)</f>
        <v/>
      </c>
      <c r="G34" s="5">
        <f>MAX(0,($E$9/(G$24*(1+Inputs!$E$28)/(1+Inputs!$E$10*(1-Inputs!$E$13)))/Inputs!$E$9)-Inputs!$E$27)/(Inputs!$E$23*$B34)</f>
        <v/>
      </c>
      <c r="H34" s="5">
        <f>MAX(0,($E$9/(H$24*(1+Inputs!$E$28)/(1+Inputs!$E$10*(1-Inputs!$E$13)))/Inputs!$E$9)-Inputs!$E$27)/(Inputs!$E$23*$B34)</f>
        <v/>
      </c>
      <c r="I34" s="5">
        <f>MAX(0,($E$9/(I$24*(1+Inputs!$E$28)/(1+Inputs!$E$10*(1-Inputs!$E$13)))/Inputs!$E$9)-Inputs!$E$27)/(Inputs!$E$23*$B34)</f>
        <v/>
      </c>
      <c r="J34" s="5">
        <f>MAX(0,($E$9/(J$24*(1+Inputs!$E$28)/(1+Inputs!$E$10*(1-Inputs!$E$13)))/Inputs!$E$9)-Inputs!$E$27)/(Inputs!$E$23*$B34)</f>
        <v/>
      </c>
      <c r="K34" s="5">
        <f>MAX(0,($E$9/(K$24*(1+Inputs!$E$28)/(1+Inputs!$E$10*(1-Inputs!$E$13)))/Inputs!$E$9)-Inputs!$E$27)/(Inputs!$E$23*$B34)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8" customWidth="1" min="4" max="4"/>
    <col width="18" customWidth="1" min="5" max="5"/>
  </cols>
  <sheetData>
    <row r="1">
      <c r="A1" s="8" t="inlineStr">
        <is>
          <t>CHAMPA — sensitivity of Year-3 EBITDA (base scenario)</t>
        </is>
      </c>
    </row>
    <row r="2">
      <c r="A2" t="inlineStr">
        <is>
          <t>Tornado values are computed by model/engine.py (static, regenerate after changing inputs). Grid below is formula-driven.</t>
        </is>
      </c>
    </row>
    <row r="4">
      <c r="A4" s="2" t="inlineStr">
        <is>
          <t>Driver (flexed)</t>
        </is>
      </c>
      <c r="B4" s="2" t="inlineStr">
        <is>
          <t>Low case EBITDA Y3</t>
        </is>
      </c>
      <c r="C4" s="2" t="inlineStr">
        <is>
          <t>High case EBITDA Y3</t>
        </is>
      </c>
      <c r="D4" s="2" t="inlineStr">
        <is>
          <t>Swing</t>
        </is>
      </c>
      <c r="E4" s="2" t="inlineStr">
        <is>
          <t>Base EBITDA Y3</t>
        </is>
      </c>
    </row>
    <row r="5">
      <c r="A5" t="inlineStr">
        <is>
          <t>Capture rate ±30%</t>
        </is>
      </c>
      <c r="B5" s="3" t="n">
        <v>-1009765</v>
      </c>
      <c r="C5" s="3" t="n">
        <v>56113159</v>
      </c>
      <c r="D5" s="3">
        <f>ABS(C5-B5)</f>
        <v/>
      </c>
      <c r="E5" s="3" t="n">
        <v>27635039</v>
      </c>
    </row>
    <row r="6">
      <c r="A6" t="inlineStr">
        <is>
          <t>Passing traffic ±20%</t>
        </is>
      </c>
      <c r="B6" s="3" t="n">
        <v>9411454</v>
      </c>
      <c r="C6" s="3" t="n">
        <v>46620452</v>
      </c>
      <c r="D6" s="3">
        <f>ABS(C6-B6)</f>
        <v/>
      </c>
      <c r="E6" s="3" t="n">
        <v>27635039</v>
      </c>
    </row>
    <row r="7">
      <c r="A7" t="inlineStr">
        <is>
          <t>Accessible share ±20%</t>
        </is>
      </c>
      <c r="B7" s="3" t="n">
        <v>9411454</v>
      </c>
      <c r="C7" s="3" t="n">
        <v>46620452</v>
      </c>
      <c r="D7" s="3">
        <f>ABS(C7-B7)</f>
        <v/>
      </c>
      <c r="E7" s="3" t="n">
        <v>27635039</v>
      </c>
    </row>
    <row r="8">
      <c r="A8" t="inlineStr">
        <is>
          <t>Average ticket ±15%</t>
        </is>
      </c>
      <c r="B8" s="3" t="n">
        <v>12954128</v>
      </c>
      <c r="C8" s="3" t="n">
        <v>43393425</v>
      </c>
      <c r="D8" s="3">
        <f>ABS(C8-B8)</f>
        <v/>
      </c>
      <c r="E8" s="3" t="n">
        <v>27635039</v>
      </c>
    </row>
    <row r="9">
      <c r="A9" t="inlineStr">
        <is>
          <t>Labour cost ±20%</t>
        </is>
      </c>
      <c r="B9" s="3" t="n">
        <v>36208997</v>
      </c>
      <c r="C9" s="3" t="n">
        <v>19643657</v>
      </c>
      <c r="D9" s="3">
        <f>ABS(C9-B9)</f>
        <v/>
      </c>
      <c r="E9" s="3" t="n">
        <v>27635039</v>
      </c>
    </row>
    <row r="10">
      <c r="A10" t="inlineStr">
        <is>
          <t>COGS ±3 pp</t>
        </is>
      </c>
      <c r="B10" s="3" t="n">
        <v>33313231</v>
      </c>
      <c r="C10" s="3" t="n">
        <v>21956847</v>
      </c>
      <c r="D10" s="3">
        <f>ABS(C10-B10)</f>
        <v/>
      </c>
      <c r="E10" s="3" t="n">
        <v>27635039</v>
      </c>
    </row>
    <row r="11">
      <c r="A11" t="inlineStr">
        <is>
          <t>Rent ±30%</t>
        </is>
      </c>
      <c r="B11" s="3" t="n">
        <v>32950021</v>
      </c>
      <c r="C11" s="3" t="n">
        <v>22360920</v>
      </c>
      <c r="D11" s="3">
        <f>ABS(C11-B11)</f>
        <v/>
      </c>
      <c r="E11" s="3" t="n">
        <v>27635039</v>
      </c>
    </row>
    <row r="12">
      <c r="A12" t="inlineStr">
        <is>
          <t>Seasonality amplitude ±30%</t>
        </is>
      </c>
      <c r="B12" s="3" t="n">
        <v>28428271</v>
      </c>
      <c r="C12" s="3" t="n">
        <v>26841807</v>
      </c>
      <c r="D12" s="3">
        <f>ABS(C12-B12)</f>
        <v/>
      </c>
      <c r="E12" s="3" t="n">
        <v>27635039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16" customWidth="1" min="4" max="4"/>
    <col width="16" customWidth="1" min="5" max="5"/>
    <col width="13" customWidth="1" min="6" max="6"/>
    <col width="80" customWidth="1" min="7" max="7"/>
  </cols>
  <sheetData>
    <row r="1">
      <c r="A1" s="8" t="inlineStr">
        <is>
          <t>CHAMPA — startup investment by concept (AMD, excl. VAT)</t>
        </is>
      </c>
    </row>
    <row r="2">
      <c r="A2" t="inlineStr">
        <is>
          <t>Line items with status tags. USD at the Inputs exchange rate. Detailed build-ups in the report (Phase 6).</t>
        </is>
      </c>
    </row>
    <row r="4">
      <c r="A4" s="2" t="inlineStr">
        <is>
          <t>Line item</t>
        </is>
      </c>
      <c r="B4" s="2" t="inlineStr">
        <is>
          <t>Depreciation class</t>
        </is>
      </c>
      <c r="C4" s="2" t="inlineStr">
        <is>
          <t>Lean</t>
        </is>
      </c>
      <c r="D4" s="2" t="inlineStr">
        <is>
          <t>Mid-range</t>
        </is>
      </c>
      <c r="E4" s="2" t="inlineStr">
        <is>
          <t>Flagship</t>
        </is>
      </c>
      <c r="F4" s="2" t="inlineStr">
        <is>
          <t>Status</t>
        </is>
      </c>
      <c r="G4" s="2" t="inlineStr">
        <is>
          <t>Source / basis</t>
        </is>
      </c>
    </row>
    <row r="5">
      <c r="A5" t="inlineStr">
        <is>
          <t>Modular building</t>
        </is>
      </c>
      <c r="B5" t="inlineStr">
        <is>
          <t>building</t>
        </is>
      </c>
      <c r="C5" s="21" t="n">
        <v>40000000</v>
      </c>
      <c r="D5" s="21" t="n">
        <v>0</v>
      </c>
      <c r="E5" s="21" t="n">
        <v>0</v>
      </c>
      <c r="F5" t="inlineStr">
        <is>
          <t>ASSUMPTION</t>
        </is>
      </c>
      <c r="G5" t="inlineStr">
        <is>
          <t>PLACEHOLDER</t>
        </is>
      </c>
    </row>
    <row r="6">
      <c r="A6" t="inlineStr">
        <is>
          <t>Site works</t>
        </is>
      </c>
      <c r="B6" t="inlineStr">
        <is>
          <t>site_works</t>
        </is>
      </c>
      <c r="C6" s="21" t="n">
        <v>30000000</v>
      </c>
      <c r="D6" s="21" t="n">
        <v>55000000</v>
      </c>
      <c r="E6" s="21" t="n">
        <v>75000000</v>
      </c>
      <c r="F6" t="inlineStr">
        <is>
          <t>ASSUMPTION</t>
        </is>
      </c>
      <c r="G6" t="inlineStr">
        <is>
          <t>PLACEHOLDER</t>
        </is>
      </c>
    </row>
    <row r="7">
      <c r="A7" t="inlineStr">
        <is>
          <t>Equipment</t>
        </is>
      </c>
      <c r="B7" t="inlineStr">
        <is>
          <t>equipment</t>
        </is>
      </c>
      <c r="C7" s="21" t="n">
        <v>25000000</v>
      </c>
      <c r="D7" s="21" t="n">
        <v>40000000</v>
      </c>
      <c r="E7" s="21" t="n">
        <v>55000000</v>
      </c>
      <c r="F7" t="inlineStr">
        <is>
          <t>ASSUMPTION</t>
        </is>
      </c>
      <c r="G7" t="inlineStr">
        <is>
          <t>PLACEHOLDER</t>
        </is>
      </c>
    </row>
    <row r="8">
      <c r="A8" t="inlineStr">
        <is>
          <t>Technology</t>
        </is>
      </c>
      <c r="B8" t="inlineStr">
        <is>
          <t>technology</t>
        </is>
      </c>
      <c r="C8" s="21" t="n">
        <v>4000000</v>
      </c>
      <c r="D8" s="21" t="n">
        <v>6000000</v>
      </c>
      <c r="E8" s="21" t="n">
        <v>9000000</v>
      </c>
      <c r="F8" t="inlineStr">
        <is>
          <t>ASSUMPTION</t>
        </is>
      </c>
      <c r="G8" t="inlineStr">
        <is>
          <t>PLACEHOLDER</t>
        </is>
      </c>
    </row>
    <row r="9">
      <c r="A9" t="inlineStr">
        <is>
          <t>Signage</t>
        </is>
      </c>
      <c r="B9" t="inlineStr">
        <is>
          <t>signage</t>
        </is>
      </c>
      <c r="C9" s="21" t="n">
        <v>6000000</v>
      </c>
      <c r="D9" s="21" t="n">
        <v>12000000</v>
      </c>
      <c r="E9" s="21" t="n">
        <v>18000000</v>
      </c>
      <c r="F9" t="inlineStr">
        <is>
          <t>ASSUMPTION</t>
        </is>
      </c>
      <c r="G9" t="inlineStr">
        <is>
          <t>PLACEHOLDER</t>
        </is>
      </c>
    </row>
    <row r="10">
      <c r="A10" t="inlineStr">
        <is>
          <t>Soft costs</t>
        </is>
      </c>
      <c r="B10" t="inlineStr">
        <is>
          <t>soft</t>
        </is>
      </c>
      <c r="C10" s="21" t="n">
        <v>8000000</v>
      </c>
      <c r="D10" s="21" t="n">
        <v>15000000</v>
      </c>
      <c r="E10" s="21" t="n">
        <v>22000000</v>
      </c>
      <c r="F10" t="inlineStr">
        <is>
          <t>ASSUMPTION</t>
        </is>
      </c>
      <c r="G10" t="inlineStr">
        <is>
          <t>PLACEHOLDER</t>
        </is>
      </c>
    </row>
    <row r="11">
      <c r="A11" t="inlineStr">
        <is>
          <t>Contingency</t>
        </is>
      </c>
      <c r="B11" t="inlineStr">
        <is>
          <t>site_works</t>
        </is>
      </c>
      <c r="C11" s="21" t="n">
        <v>10000000</v>
      </c>
      <c r="D11" s="21" t="n">
        <v>20000000</v>
      </c>
      <c r="E11" s="21" t="n">
        <v>30000000</v>
      </c>
      <c r="F11" t="inlineStr">
        <is>
          <t>ASSUMPTION</t>
        </is>
      </c>
      <c r="G11" t="inlineStr">
        <is>
          <t>PLACEHOLDER</t>
        </is>
      </c>
    </row>
    <row r="12">
      <c r="A12" t="inlineStr">
        <is>
          <t>Building</t>
        </is>
      </c>
      <c r="B12" t="inlineStr">
        <is>
          <t>building</t>
        </is>
      </c>
      <c r="C12" s="21" t="n">
        <v>0</v>
      </c>
      <c r="D12" s="21" t="n">
        <v>90000000</v>
      </c>
      <c r="E12" s="21" t="n">
        <v>150000000</v>
      </c>
      <c r="F12" t="inlineStr">
        <is>
          <t>ASSUMPTION</t>
        </is>
      </c>
      <c r="G12" t="inlineStr">
        <is>
          <t>PLACEHOLDER</t>
        </is>
      </c>
    </row>
    <row r="13">
      <c r="A13" s="18" t="inlineStr">
        <is>
          <t>TOTAL CAPEX</t>
        </is>
      </c>
      <c r="C13" s="22">
        <f>SUM(C5:C12)</f>
        <v/>
      </c>
      <c r="D13" s="22">
        <f>SUM(D5:D12)</f>
        <v/>
      </c>
      <c r="E13" s="22">
        <f>SUM(E5:E12)</f>
        <v/>
      </c>
    </row>
    <row r="14">
      <c r="A14" t="inlineStr">
        <is>
          <t>Pre-opening costs (from Inputs)</t>
        </is>
      </c>
      <c r="C14" s="3">
        <f>Inputs!D85</f>
        <v/>
      </c>
      <c r="D14" s="3">
        <f>Inputs!E85</f>
        <v/>
      </c>
      <c r="E14" s="3">
        <f>Inputs!F85</f>
        <v/>
      </c>
    </row>
    <row r="15">
      <c r="A15" s="18" t="inlineStr">
        <is>
          <t>TOTAL INVESTMENT (capex + pre-opening)</t>
        </is>
      </c>
      <c r="C15" s="22">
        <f>C13+C14</f>
        <v/>
      </c>
      <c r="D15" s="22">
        <f>D13+D14</f>
        <v/>
      </c>
      <c r="E15" s="22">
        <f>E13+E14</f>
        <v/>
      </c>
    </row>
    <row r="16">
      <c r="A16" s="18" t="inlineStr">
        <is>
          <t>TOTAL INVESTMENT (USD)</t>
        </is>
      </c>
      <c r="C16" s="23">
        <f>C15/Inputs!$E$7</f>
        <v/>
      </c>
      <c r="D16" s="23">
        <f>D15/Inputs!$E$7</f>
        <v/>
      </c>
      <c r="E16" s="23">
        <f>E15/Inputs!$E$7</f>
        <v/>
      </c>
    </row>
    <row r="18">
      <c r="A18" s="18" t="inlineStr">
        <is>
          <t>Capex by depreciation class</t>
        </is>
      </c>
    </row>
    <row r="19">
      <c r="A19" t="inlineStr">
        <is>
          <t>building</t>
        </is>
      </c>
      <c r="C19" s="3">
        <f>SUMIF($B$5:$B$12,"building",C$5:C$12)</f>
        <v/>
      </c>
      <c r="D19" s="3">
        <f>SUMIF($B$5:$B$12,"building",D$5:D$12)</f>
        <v/>
      </c>
      <c r="E19" s="3">
        <f>SUMIF($B$5:$B$12,"building",E$5:E$12)</f>
        <v/>
      </c>
    </row>
    <row r="20">
      <c r="A20" t="inlineStr">
        <is>
          <t>site_works</t>
        </is>
      </c>
      <c r="C20" s="3">
        <f>SUMIF($B$5:$B$12,"site_works",C$5:C$12)</f>
        <v/>
      </c>
      <c r="D20" s="3">
        <f>SUMIF($B$5:$B$12,"site_works",D$5:D$12)</f>
        <v/>
      </c>
      <c r="E20" s="3">
        <f>SUMIF($B$5:$B$12,"site_works",E$5:E$12)</f>
        <v/>
      </c>
    </row>
    <row r="21">
      <c r="A21" t="inlineStr">
        <is>
          <t>equipment</t>
        </is>
      </c>
      <c r="C21" s="3">
        <f>SUMIF($B$5:$B$12,"equipment",C$5:C$12)</f>
        <v/>
      </c>
      <c r="D21" s="3">
        <f>SUMIF($B$5:$B$12,"equipment",D$5:D$12)</f>
        <v/>
      </c>
      <c r="E21" s="3">
        <f>SUMIF($B$5:$B$12,"equipment",E$5:E$12)</f>
        <v/>
      </c>
    </row>
    <row r="22">
      <c r="A22" t="inlineStr">
        <is>
          <t>technology</t>
        </is>
      </c>
      <c r="C22" s="3">
        <f>SUMIF($B$5:$B$12,"technology",C$5:C$12)</f>
        <v/>
      </c>
      <c r="D22" s="3">
        <f>SUMIF($B$5:$B$12,"technology",D$5:D$12)</f>
        <v/>
      </c>
      <c r="E22" s="3">
        <f>SUMIF($B$5:$B$12,"technology",E$5:E$12)</f>
        <v/>
      </c>
    </row>
    <row r="23">
      <c r="A23" t="inlineStr">
        <is>
          <t>signage</t>
        </is>
      </c>
      <c r="C23" s="3">
        <f>SUMIF($B$5:$B$12,"signage",C$5:C$12)</f>
        <v/>
      </c>
      <c r="D23" s="3">
        <f>SUMIF($B$5:$B$12,"signage",D$5:D$12)</f>
        <v/>
      </c>
      <c r="E23" s="3">
        <f>SUMIF($B$5:$B$12,"signage",E$5:E$12)</f>
        <v/>
      </c>
    </row>
    <row r="24">
      <c r="A24" t="inlineStr">
        <is>
          <t>soft</t>
        </is>
      </c>
      <c r="C24" s="3">
        <f>SUMIF($B$5:$B$12,"soft",C$5:C$12)</f>
        <v/>
      </c>
      <c r="D24" s="3">
        <f>SUMIF($B$5:$B$12,"soft",D$5:D$12)</f>
        <v/>
      </c>
      <c r="E24" s="3">
        <f>SUMIF($B$5:$B$12,"soft",E$5:E$12)</f>
        <v/>
      </c>
    </row>
    <row r="25">
      <c r="A25" t="inlineStr">
        <is>
          <t>land</t>
        </is>
      </c>
      <c r="C25" s="3">
        <f>SUMIF($B$5:$B$12,"land",C$5:C$12)</f>
        <v/>
      </c>
      <c r="D25" s="3">
        <f>SUMIF($B$5:$B$12,"land",D$5:D$12)</f>
        <v/>
      </c>
      <c r="E25" s="3">
        <f>SUMIF($B$5:$B$12,"land",E$5:E$12)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8" t="inlineStr">
        <is>
          <t>CHAMPA — monthly engine — CONSERVATIVE scenario (AMD)</t>
        </is>
      </c>
    </row>
    <row r="2">
      <c r="B2" s="18" t="inlineStr">
        <is>
          <t>Units</t>
        </is>
      </c>
      <c r="C2" s="18">
        <f>CHOOSE(C5,"Jan","Feb","Mar","Apr","May","Jun","Jul","Aug","Sep","Oct","Nov","Dec")&amp;" Y"&amp;C4</f>
        <v/>
      </c>
      <c r="D2" s="18">
        <f>CHOOSE(D5,"Jan","Feb","Mar","Apr","May","Jun","Jul","Aug","Sep","Oct","Nov","Dec")&amp;" Y"&amp;D4</f>
        <v/>
      </c>
      <c r="E2" s="18">
        <f>CHOOSE(E5,"Jan","Feb","Mar","Apr","May","Jun","Jul","Aug","Sep","Oct","Nov","Dec")&amp;" Y"&amp;E4</f>
        <v/>
      </c>
      <c r="F2" s="18">
        <f>CHOOSE(F5,"Jan","Feb","Mar","Apr","May","Jun","Jul","Aug","Sep","Oct","Nov","Dec")&amp;" Y"&amp;F4</f>
        <v/>
      </c>
      <c r="G2" s="18">
        <f>CHOOSE(G5,"Jan","Feb","Mar","Apr","May","Jun","Jul","Aug","Sep","Oct","Nov","Dec")&amp;" Y"&amp;G4</f>
        <v/>
      </c>
      <c r="H2" s="18">
        <f>CHOOSE(H5,"Jan","Feb","Mar","Apr","May","Jun","Jul","Aug","Sep","Oct","Nov","Dec")&amp;" Y"&amp;H4</f>
        <v/>
      </c>
      <c r="I2" s="18">
        <f>CHOOSE(I5,"Jan","Feb","Mar","Apr","May","Jun","Jul","Aug","Sep","Oct","Nov","Dec")&amp;" Y"&amp;I4</f>
        <v/>
      </c>
      <c r="J2" s="18">
        <f>CHOOSE(J5,"Jan","Feb","Mar","Apr","May","Jun","Jul","Aug","Sep","Oct","Nov","Dec")&amp;" Y"&amp;J4</f>
        <v/>
      </c>
      <c r="K2" s="18">
        <f>CHOOSE(K5,"Jan","Feb","Mar","Apr","May","Jun","Jul","Aug","Sep","Oct","Nov","Dec")&amp;" Y"&amp;K4</f>
        <v/>
      </c>
      <c r="L2" s="18">
        <f>CHOOSE(L5,"Jan","Feb","Mar","Apr","May","Jun","Jul","Aug","Sep","Oct","Nov","Dec")&amp;" Y"&amp;L4</f>
        <v/>
      </c>
      <c r="M2" s="18">
        <f>CHOOSE(M5,"Jan","Feb","Mar","Apr","May","Jun","Jul","Aug","Sep","Oct","Nov","Dec")&amp;" Y"&amp;M4</f>
        <v/>
      </c>
      <c r="N2" s="18">
        <f>CHOOSE(N5,"Jan","Feb","Mar","Apr","May","Jun","Jul","Aug","Sep","Oct","Nov","Dec")&amp;" Y"&amp;N4</f>
        <v/>
      </c>
      <c r="O2" s="18">
        <f>CHOOSE(O5,"Jan","Feb","Mar","Apr","May","Jun","Jul","Aug","Sep","Oct","Nov","Dec")&amp;" Y"&amp;O4</f>
        <v/>
      </c>
      <c r="P2" s="18">
        <f>CHOOSE(P5,"Jan","Feb","Mar","Apr","May","Jun","Jul","Aug","Sep","Oct","Nov","Dec")&amp;" Y"&amp;P4</f>
        <v/>
      </c>
      <c r="Q2" s="18">
        <f>CHOOSE(Q5,"Jan","Feb","Mar","Apr","May","Jun","Jul","Aug","Sep","Oct","Nov","Dec")&amp;" Y"&amp;Q4</f>
        <v/>
      </c>
      <c r="R2" s="18">
        <f>CHOOSE(R5,"Jan","Feb","Mar","Apr","May","Jun","Jul","Aug","Sep","Oct","Nov","Dec")&amp;" Y"&amp;R4</f>
        <v/>
      </c>
      <c r="S2" s="18">
        <f>CHOOSE(S5,"Jan","Feb","Mar","Apr","May","Jun","Jul","Aug","Sep","Oct","Nov","Dec")&amp;" Y"&amp;S4</f>
        <v/>
      </c>
      <c r="T2" s="18">
        <f>CHOOSE(T5,"Jan","Feb","Mar","Apr","May","Jun","Jul","Aug","Sep","Oct","Nov","Dec")&amp;" Y"&amp;T4</f>
        <v/>
      </c>
      <c r="U2" s="18">
        <f>CHOOSE(U5,"Jan","Feb","Mar","Apr","May","Jun","Jul","Aug","Sep","Oct","Nov","Dec")&amp;" Y"&amp;U4</f>
        <v/>
      </c>
      <c r="V2" s="18">
        <f>CHOOSE(V5,"Jan","Feb","Mar","Apr","May","Jun","Jul","Aug","Sep","Oct","Nov","Dec")&amp;" Y"&amp;V4</f>
        <v/>
      </c>
      <c r="W2" s="18">
        <f>CHOOSE(W5,"Jan","Feb","Mar","Apr","May","Jun","Jul","Aug","Sep","Oct","Nov","Dec")&amp;" Y"&amp;W4</f>
        <v/>
      </c>
      <c r="X2" s="18">
        <f>CHOOSE(X5,"Jan","Feb","Mar","Apr","May","Jun","Jul","Aug","Sep","Oct","Nov","Dec")&amp;" Y"&amp;X4</f>
        <v/>
      </c>
      <c r="Y2" s="18">
        <f>CHOOSE(Y5,"Jan","Feb","Mar","Apr","May","Jun","Jul","Aug","Sep","Oct","Nov","Dec")&amp;" Y"&amp;Y4</f>
        <v/>
      </c>
      <c r="Z2" s="18">
        <f>CHOOSE(Z5,"Jan","Feb","Mar","Apr","May","Jun","Jul","Aug","Sep","Oct","Nov","Dec")&amp;" Y"&amp;Z4</f>
        <v/>
      </c>
      <c r="AA2" s="18">
        <f>CHOOSE(AA5,"Jan","Feb","Mar","Apr","May","Jun","Jul","Aug","Sep","Oct","Nov","Dec")&amp;" Y"&amp;AA4</f>
        <v/>
      </c>
      <c r="AB2" s="18">
        <f>CHOOSE(AB5,"Jan","Feb","Mar","Apr","May","Jun","Jul","Aug","Sep","Oct","Nov","Dec")&amp;" Y"&amp;AB4</f>
        <v/>
      </c>
      <c r="AC2" s="18">
        <f>CHOOSE(AC5,"Jan","Feb","Mar","Apr","May","Jun","Jul","Aug","Sep","Oct","Nov","Dec")&amp;" Y"&amp;AC4</f>
        <v/>
      </c>
      <c r="AD2" s="18">
        <f>CHOOSE(AD5,"Jan","Feb","Mar","Apr","May","Jun","Jul","Aug","Sep","Oct","Nov","Dec")&amp;" Y"&amp;AD4</f>
        <v/>
      </c>
      <c r="AE2" s="18">
        <f>CHOOSE(AE5,"Jan","Feb","Mar","Apr","May","Jun","Jul","Aug","Sep","Oct","Nov","Dec")&amp;" Y"&amp;AE4</f>
        <v/>
      </c>
      <c r="AF2" s="18">
        <f>CHOOSE(AF5,"Jan","Feb","Mar","Apr","May","Jun","Jul","Aug","Sep","Oct","Nov","Dec")&amp;" Y"&amp;AF4</f>
        <v/>
      </c>
      <c r="AG2" s="18">
        <f>CHOOSE(AG5,"Jan","Feb","Mar","Apr","May","Jun","Jul","Aug","Sep","Oct","Nov","Dec")&amp;" Y"&amp;AG4</f>
        <v/>
      </c>
      <c r="AH2" s="18">
        <f>CHOOSE(AH5,"Jan","Feb","Mar","Apr","May","Jun","Jul","Aug","Sep","Oct","Nov","Dec")&amp;" Y"&amp;AH4</f>
        <v/>
      </c>
      <c r="AI2" s="18">
        <f>CHOOSE(AI5,"Jan","Feb","Mar","Apr","May","Jun","Jul","Aug","Sep","Oct","Nov","Dec")&amp;" Y"&amp;AI4</f>
        <v/>
      </c>
      <c r="AJ2" s="18">
        <f>CHOOSE(AJ5,"Jan","Feb","Mar","Apr","May","Jun","Jul","Aug","Sep","Oct","Nov","Dec")&amp;" Y"&amp;AJ4</f>
        <v/>
      </c>
      <c r="AK2" s="18">
        <f>CHOOSE(AK5,"Jan","Feb","Mar","Apr","May","Jun","Jul","Aug","Sep","Oct","Nov","Dec")&amp;" Y"&amp;AK4</f>
        <v/>
      </c>
      <c r="AL2" s="18">
        <f>CHOOSE(AL5,"Jan","Feb","Mar","Apr","May","Jun","Jul","Aug","Sep","Oct","Nov","Dec")&amp;" Y"&amp;AL4</f>
        <v/>
      </c>
      <c r="AM2" s="18">
        <f>CHOOSE(AM5,"Jan","Feb","Mar","Apr","May","Jun","Jul","Aug","Sep","Oct","Nov","Dec")&amp;" Y"&amp;AM4</f>
        <v/>
      </c>
      <c r="AN2" s="18">
        <f>CHOOSE(AN5,"Jan","Feb","Mar","Apr","May","Jun","Jul","Aug","Sep","Oct","Nov","Dec")&amp;" Y"&amp;AN4</f>
        <v/>
      </c>
      <c r="AO2" s="18">
        <f>CHOOSE(AO5,"Jan","Feb","Mar","Apr","May","Jun","Jul","Aug","Sep","Oct","Nov","Dec")&amp;" Y"&amp;AO4</f>
        <v/>
      </c>
      <c r="AP2" s="18">
        <f>CHOOSE(AP5,"Jan","Feb","Mar","Apr","May","Jun","Jul","Aug","Sep","Oct","Nov","Dec")&amp;" Y"&amp;AP4</f>
        <v/>
      </c>
      <c r="AQ2" s="18">
        <f>CHOOSE(AQ5,"Jan","Feb","Mar","Apr","May","Jun","Jul","Aug","Sep","Oct","Nov","Dec")&amp;" Y"&amp;AQ4</f>
        <v/>
      </c>
      <c r="AR2" s="18">
        <f>CHOOSE(AR5,"Jan","Feb","Mar","Apr","May","Jun","Jul","Aug","Sep","Oct","Nov","Dec")&amp;" Y"&amp;AR4</f>
        <v/>
      </c>
      <c r="AS2" s="18">
        <f>CHOOSE(AS5,"Jan","Feb","Mar","Apr","May","Jun","Jul","Aug","Sep","Oct","Nov","Dec")&amp;" Y"&amp;AS4</f>
        <v/>
      </c>
      <c r="AT2" s="18">
        <f>CHOOSE(AT5,"Jan","Feb","Mar","Apr","May","Jun","Jul","Aug","Sep","Oct","Nov","Dec")&amp;" Y"&amp;AT4</f>
        <v/>
      </c>
      <c r="AU2" s="18">
        <f>CHOOSE(AU5,"Jan","Feb","Mar","Apr","May","Jun","Jul","Aug","Sep","Oct","Nov","Dec")&amp;" Y"&amp;AU4</f>
        <v/>
      </c>
      <c r="AV2" s="18">
        <f>CHOOSE(AV5,"Jan","Feb","Mar","Apr","May","Jun","Jul","Aug","Sep","Oct","Nov","Dec")&amp;" Y"&amp;AV4</f>
        <v/>
      </c>
      <c r="AW2" s="18">
        <f>CHOOSE(AW5,"Jan","Feb","Mar","Apr","May","Jun","Jul","Aug","Sep","Oct","Nov","Dec")&amp;" Y"&amp;AW4</f>
        <v/>
      </c>
      <c r="AX2" s="18">
        <f>CHOOSE(AX5,"Jan","Feb","Mar","Apr","May","Jun","Jul","Aug","Sep","Oct","Nov","Dec")&amp;" Y"&amp;AX4</f>
        <v/>
      </c>
      <c r="AY2" s="18">
        <f>CHOOSE(AY5,"Jan","Feb","Mar","Apr","May","Jun","Jul","Aug","Sep","Oct","Nov","Dec")&amp;" Y"&amp;AY4</f>
        <v/>
      </c>
      <c r="AZ2" s="18">
        <f>CHOOSE(AZ5,"Jan","Feb","Mar","Apr","May","Jun","Jul","Aug","Sep","Oct","Nov","Dec")&amp;" Y"&amp;AZ4</f>
        <v/>
      </c>
      <c r="BA2" s="18">
        <f>CHOOSE(BA5,"Jan","Feb","Mar","Apr","May","Jun","Jul","Aug","Sep","Oct","Nov","Dec")&amp;" Y"&amp;BA4</f>
        <v/>
      </c>
      <c r="BB2" s="18">
        <f>CHOOSE(BB5,"Jan","Feb","Mar","Apr","May","Jun","Jul","Aug","Sep","Oct","Nov","Dec")&amp;" Y"&amp;BB4</f>
        <v/>
      </c>
      <c r="BC2" s="18">
        <f>CHOOSE(BC5,"Jan","Feb","Mar","Apr","May","Jun","Jul","Aug","Sep","Oct","Nov","Dec")&amp;" Y"&amp;BC4</f>
        <v/>
      </c>
      <c r="BD2" s="18">
        <f>CHOOSE(BD5,"Jan","Feb","Mar","Apr","May","Jun","Jul","Aug","Sep","Oct","Nov","Dec")&amp;" Y"&amp;BD4</f>
        <v/>
      </c>
      <c r="BE2" s="18">
        <f>CHOOSE(BE5,"Jan","Feb","Mar","Apr","May","Jun","Jul","Aug","Sep","Oct","Nov","Dec")&amp;" Y"&amp;BE4</f>
        <v/>
      </c>
      <c r="BF2" s="18">
        <f>CHOOSE(BF5,"Jan","Feb","Mar","Apr","May","Jun","Jul","Aug","Sep","Oct","Nov","Dec")&amp;" Y"&amp;BF4</f>
        <v/>
      </c>
      <c r="BG2" s="18">
        <f>CHOOSE(BG5,"Jan","Feb","Mar","Apr","May","Jun","Jul","Aug","Sep","Oct","Nov","Dec")&amp;" Y"&amp;BG4</f>
        <v/>
      </c>
      <c r="BH2" s="18">
        <f>CHOOSE(BH5,"Jan","Feb","Mar","Apr","May","Jun","Jul","Aug","Sep","Oct","Nov","Dec")&amp;" Y"&amp;BH4</f>
        <v/>
      </c>
      <c r="BI2" s="18">
        <f>CHOOSE(BI5,"Jan","Feb","Mar","Apr","May","Jun","Jul","Aug","Sep","Oct","Nov","Dec")&amp;" Y"&amp;BI4</f>
        <v/>
      </c>
      <c r="BJ2" s="18">
        <f>CHOOSE(BJ5,"Jan","Feb","Mar","Apr","May","Jun","Jul","Aug","Sep","Oct","Nov","Dec")&amp;" Y"&amp;BJ4</f>
        <v/>
      </c>
    </row>
    <row r="3">
      <c r="A3" t="inlineStr">
        <is>
          <t>Month #</t>
        </is>
      </c>
      <c r="C3" s="7" t="n">
        <v>1</v>
      </c>
      <c r="D3" s="7" t="n">
        <v>2</v>
      </c>
      <c r="E3" s="7" t="n">
        <v>3</v>
      </c>
      <c r="F3" s="7" t="n">
        <v>4</v>
      </c>
      <c r="G3" s="7" t="n">
        <v>5</v>
      </c>
      <c r="H3" s="7" t="n">
        <v>6</v>
      </c>
      <c r="I3" s="7" t="n">
        <v>7</v>
      </c>
      <c r="J3" s="7" t="n">
        <v>8</v>
      </c>
      <c r="K3" s="7" t="n">
        <v>9</v>
      </c>
      <c r="L3" s="7" t="n">
        <v>10</v>
      </c>
      <c r="M3" s="7" t="n">
        <v>11</v>
      </c>
      <c r="N3" s="7" t="n">
        <v>12</v>
      </c>
      <c r="O3" s="7" t="n">
        <v>13</v>
      </c>
      <c r="P3" s="7" t="n">
        <v>14</v>
      </c>
      <c r="Q3" s="7" t="n">
        <v>15</v>
      </c>
      <c r="R3" s="7" t="n">
        <v>16</v>
      </c>
      <c r="S3" s="7" t="n">
        <v>17</v>
      </c>
      <c r="T3" s="7" t="n">
        <v>18</v>
      </c>
      <c r="U3" s="7" t="n">
        <v>19</v>
      </c>
      <c r="V3" s="7" t="n">
        <v>20</v>
      </c>
      <c r="W3" s="7" t="n">
        <v>21</v>
      </c>
      <c r="X3" s="7" t="n">
        <v>22</v>
      </c>
      <c r="Y3" s="7" t="n">
        <v>23</v>
      </c>
      <c r="Z3" s="7" t="n">
        <v>24</v>
      </c>
      <c r="AA3" s="7" t="n">
        <v>25</v>
      </c>
      <c r="AB3" s="7" t="n">
        <v>26</v>
      </c>
      <c r="AC3" s="7" t="n">
        <v>27</v>
      </c>
      <c r="AD3" s="7" t="n">
        <v>28</v>
      </c>
      <c r="AE3" s="7" t="n">
        <v>29</v>
      </c>
      <c r="AF3" s="7" t="n">
        <v>30</v>
      </c>
      <c r="AG3" s="7" t="n">
        <v>31</v>
      </c>
      <c r="AH3" s="7" t="n">
        <v>32</v>
      </c>
      <c r="AI3" s="7" t="n">
        <v>33</v>
      </c>
      <c r="AJ3" s="7" t="n">
        <v>34</v>
      </c>
      <c r="AK3" s="7" t="n">
        <v>35</v>
      </c>
      <c r="AL3" s="7" t="n">
        <v>36</v>
      </c>
      <c r="AM3" s="7" t="n">
        <v>37</v>
      </c>
      <c r="AN3" s="7" t="n">
        <v>38</v>
      </c>
      <c r="AO3" s="7" t="n">
        <v>39</v>
      </c>
      <c r="AP3" s="7" t="n">
        <v>40</v>
      </c>
      <c r="AQ3" s="7" t="n">
        <v>41</v>
      </c>
      <c r="AR3" s="7" t="n">
        <v>42</v>
      </c>
      <c r="AS3" s="7" t="n">
        <v>43</v>
      </c>
      <c r="AT3" s="7" t="n">
        <v>44</v>
      </c>
      <c r="AU3" s="7" t="n">
        <v>45</v>
      </c>
      <c r="AV3" s="7" t="n">
        <v>46</v>
      </c>
      <c r="AW3" s="7" t="n">
        <v>47</v>
      </c>
      <c r="AX3" s="7" t="n">
        <v>48</v>
      </c>
      <c r="AY3" s="7" t="n">
        <v>49</v>
      </c>
      <c r="AZ3" s="7" t="n">
        <v>50</v>
      </c>
      <c r="BA3" s="7" t="n">
        <v>51</v>
      </c>
      <c r="BB3" s="7" t="n">
        <v>52</v>
      </c>
      <c r="BC3" s="7" t="n">
        <v>53</v>
      </c>
      <c r="BD3" s="7" t="n">
        <v>54</v>
      </c>
      <c r="BE3" s="7" t="n">
        <v>55</v>
      </c>
      <c r="BF3" s="7" t="n">
        <v>56</v>
      </c>
      <c r="BG3" s="7" t="n">
        <v>57</v>
      </c>
      <c r="BH3" s="7" t="n">
        <v>58</v>
      </c>
      <c r="BI3" s="7" t="n">
        <v>59</v>
      </c>
      <c r="BJ3" s="7" t="n">
        <v>60</v>
      </c>
    </row>
    <row r="4">
      <c r="A4" t="inlineStr">
        <is>
          <t>Year</t>
        </is>
      </c>
      <c r="C4" s="7">
        <f>INT((C3-1)/12)+1</f>
        <v/>
      </c>
      <c r="D4" s="7">
        <f>INT((D3-1)/12)+1</f>
        <v/>
      </c>
      <c r="E4" s="7">
        <f>INT((E3-1)/12)+1</f>
        <v/>
      </c>
      <c r="F4" s="7">
        <f>INT((F3-1)/12)+1</f>
        <v/>
      </c>
      <c r="G4" s="7">
        <f>INT((G3-1)/12)+1</f>
        <v/>
      </c>
      <c r="H4" s="7">
        <f>INT((H3-1)/12)+1</f>
        <v/>
      </c>
      <c r="I4" s="7">
        <f>INT((I3-1)/12)+1</f>
        <v/>
      </c>
      <c r="J4" s="7">
        <f>INT((J3-1)/12)+1</f>
        <v/>
      </c>
      <c r="K4" s="7">
        <f>INT((K3-1)/12)+1</f>
        <v/>
      </c>
      <c r="L4" s="7">
        <f>INT((L3-1)/12)+1</f>
        <v/>
      </c>
      <c r="M4" s="7">
        <f>INT((M3-1)/12)+1</f>
        <v/>
      </c>
      <c r="N4" s="7">
        <f>INT((N3-1)/12)+1</f>
        <v/>
      </c>
      <c r="O4" s="7">
        <f>INT((O3-1)/12)+1</f>
        <v/>
      </c>
      <c r="P4" s="7">
        <f>INT((P3-1)/12)+1</f>
        <v/>
      </c>
      <c r="Q4" s="7">
        <f>INT((Q3-1)/12)+1</f>
        <v/>
      </c>
      <c r="R4" s="7">
        <f>INT((R3-1)/12)+1</f>
        <v/>
      </c>
      <c r="S4" s="7">
        <f>INT((S3-1)/12)+1</f>
        <v/>
      </c>
      <c r="T4" s="7">
        <f>INT((T3-1)/12)+1</f>
        <v/>
      </c>
      <c r="U4" s="7">
        <f>INT((U3-1)/12)+1</f>
        <v/>
      </c>
      <c r="V4" s="7">
        <f>INT((V3-1)/12)+1</f>
        <v/>
      </c>
      <c r="W4" s="7">
        <f>INT((W3-1)/12)+1</f>
        <v/>
      </c>
      <c r="X4" s="7">
        <f>INT((X3-1)/12)+1</f>
        <v/>
      </c>
      <c r="Y4" s="7">
        <f>INT((Y3-1)/12)+1</f>
        <v/>
      </c>
      <c r="Z4" s="7">
        <f>INT((Z3-1)/12)+1</f>
        <v/>
      </c>
      <c r="AA4" s="7">
        <f>INT((AA3-1)/12)+1</f>
        <v/>
      </c>
      <c r="AB4" s="7">
        <f>INT((AB3-1)/12)+1</f>
        <v/>
      </c>
      <c r="AC4" s="7">
        <f>INT((AC3-1)/12)+1</f>
        <v/>
      </c>
      <c r="AD4" s="7">
        <f>INT((AD3-1)/12)+1</f>
        <v/>
      </c>
      <c r="AE4" s="7">
        <f>INT((AE3-1)/12)+1</f>
        <v/>
      </c>
      <c r="AF4" s="7">
        <f>INT((AF3-1)/12)+1</f>
        <v/>
      </c>
      <c r="AG4" s="7">
        <f>INT((AG3-1)/12)+1</f>
        <v/>
      </c>
      <c r="AH4" s="7">
        <f>INT((AH3-1)/12)+1</f>
        <v/>
      </c>
      <c r="AI4" s="7">
        <f>INT((AI3-1)/12)+1</f>
        <v/>
      </c>
      <c r="AJ4" s="7">
        <f>INT((AJ3-1)/12)+1</f>
        <v/>
      </c>
      <c r="AK4" s="7">
        <f>INT((AK3-1)/12)+1</f>
        <v/>
      </c>
      <c r="AL4" s="7">
        <f>INT((AL3-1)/12)+1</f>
        <v/>
      </c>
      <c r="AM4" s="7">
        <f>INT((AM3-1)/12)+1</f>
        <v/>
      </c>
      <c r="AN4" s="7">
        <f>INT((AN3-1)/12)+1</f>
        <v/>
      </c>
      <c r="AO4" s="7">
        <f>INT((AO3-1)/12)+1</f>
        <v/>
      </c>
      <c r="AP4" s="7">
        <f>INT((AP3-1)/12)+1</f>
        <v/>
      </c>
      <c r="AQ4" s="7">
        <f>INT((AQ3-1)/12)+1</f>
        <v/>
      </c>
      <c r="AR4" s="7">
        <f>INT((AR3-1)/12)+1</f>
        <v/>
      </c>
      <c r="AS4" s="7">
        <f>INT((AS3-1)/12)+1</f>
        <v/>
      </c>
      <c r="AT4" s="7">
        <f>INT((AT3-1)/12)+1</f>
        <v/>
      </c>
      <c r="AU4" s="7">
        <f>INT((AU3-1)/12)+1</f>
        <v/>
      </c>
      <c r="AV4" s="7">
        <f>INT((AV3-1)/12)+1</f>
        <v/>
      </c>
      <c r="AW4" s="7">
        <f>INT((AW3-1)/12)+1</f>
        <v/>
      </c>
      <c r="AX4" s="7">
        <f>INT((AX3-1)/12)+1</f>
        <v/>
      </c>
      <c r="AY4" s="7">
        <f>INT((AY3-1)/12)+1</f>
        <v/>
      </c>
      <c r="AZ4" s="7">
        <f>INT((AZ3-1)/12)+1</f>
        <v/>
      </c>
      <c r="BA4" s="7">
        <f>INT((BA3-1)/12)+1</f>
        <v/>
      </c>
      <c r="BB4" s="7">
        <f>INT((BB3-1)/12)+1</f>
        <v/>
      </c>
      <c r="BC4" s="7">
        <f>INT((BC3-1)/12)+1</f>
        <v/>
      </c>
      <c r="BD4" s="7">
        <f>INT((BD3-1)/12)+1</f>
        <v/>
      </c>
      <c r="BE4" s="7">
        <f>INT((BE3-1)/12)+1</f>
        <v/>
      </c>
      <c r="BF4" s="7">
        <f>INT((BF3-1)/12)+1</f>
        <v/>
      </c>
      <c r="BG4" s="7">
        <f>INT((BG3-1)/12)+1</f>
        <v/>
      </c>
      <c r="BH4" s="7">
        <f>INT((BH3-1)/12)+1</f>
        <v/>
      </c>
      <c r="BI4" s="7">
        <f>INT((BI3-1)/12)+1</f>
        <v/>
      </c>
      <c r="BJ4" s="7">
        <f>INT((BJ3-1)/12)+1</f>
        <v/>
      </c>
    </row>
    <row r="5">
      <c r="A5" t="inlineStr">
        <is>
          <t>Calendar month (1-12)</t>
        </is>
      </c>
      <c r="C5" s="7">
        <f>MOD(Inputs!$D$8-1+C3-1,12)+1</f>
        <v/>
      </c>
      <c r="D5" s="7">
        <f>MOD(Inputs!$D$8-1+D3-1,12)+1</f>
        <v/>
      </c>
      <c r="E5" s="7">
        <f>MOD(Inputs!$D$8-1+E3-1,12)+1</f>
        <v/>
      </c>
      <c r="F5" s="7">
        <f>MOD(Inputs!$D$8-1+F3-1,12)+1</f>
        <v/>
      </c>
      <c r="G5" s="7">
        <f>MOD(Inputs!$D$8-1+G3-1,12)+1</f>
        <v/>
      </c>
      <c r="H5" s="7">
        <f>MOD(Inputs!$D$8-1+H3-1,12)+1</f>
        <v/>
      </c>
      <c r="I5" s="7">
        <f>MOD(Inputs!$D$8-1+I3-1,12)+1</f>
        <v/>
      </c>
      <c r="J5" s="7">
        <f>MOD(Inputs!$D$8-1+J3-1,12)+1</f>
        <v/>
      </c>
      <c r="K5" s="7">
        <f>MOD(Inputs!$D$8-1+K3-1,12)+1</f>
        <v/>
      </c>
      <c r="L5" s="7">
        <f>MOD(Inputs!$D$8-1+L3-1,12)+1</f>
        <v/>
      </c>
      <c r="M5" s="7">
        <f>MOD(Inputs!$D$8-1+M3-1,12)+1</f>
        <v/>
      </c>
      <c r="N5" s="7">
        <f>MOD(Inputs!$D$8-1+N3-1,12)+1</f>
        <v/>
      </c>
      <c r="O5" s="7">
        <f>MOD(Inputs!$D$8-1+O3-1,12)+1</f>
        <v/>
      </c>
      <c r="P5" s="7">
        <f>MOD(Inputs!$D$8-1+P3-1,12)+1</f>
        <v/>
      </c>
      <c r="Q5" s="7">
        <f>MOD(Inputs!$D$8-1+Q3-1,12)+1</f>
        <v/>
      </c>
      <c r="R5" s="7">
        <f>MOD(Inputs!$D$8-1+R3-1,12)+1</f>
        <v/>
      </c>
      <c r="S5" s="7">
        <f>MOD(Inputs!$D$8-1+S3-1,12)+1</f>
        <v/>
      </c>
      <c r="T5" s="7">
        <f>MOD(Inputs!$D$8-1+T3-1,12)+1</f>
        <v/>
      </c>
      <c r="U5" s="7">
        <f>MOD(Inputs!$D$8-1+U3-1,12)+1</f>
        <v/>
      </c>
      <c r="V5" s="7">
        <f>MOD(Inputs!$D$8-1+V3-1,12)+1</f>
        <v/>
      </c>
      <c r="W5" s="7">
        <f>MOD(Inputs!$D$8-1+W3-1,12)+1</f>
        <v/>
      </c>
      <c r="X5" s="7">
        <f>MOD(Inputs!$D$8-1+X3-1,12)+1</f>
        <v/>
      </c>
      <c r="Y5" s="7">
        <f>MOD(Inputs!$D$8-1+Y3-1,12)+1</f>
        <v/>
      </c>
      <c r="Z5" s="7">
        <f>MOD(Inputs!$D$8-1+Z3-1,12)+1</f>
        <v/>
      </c>
      <c r="AA5" s="7">
        <f>MOD(Inputs!$D$8-1+AA3-1,12)+1</f>
        <v/>
      </c>
      <c r="AB5" s="7">
        <f>MOD(Inputs!$D$8-1+AB3-1,12)+1</f>
        <v/>
      </c>
      <c r="AC5" s="7">
        <f>MOD(Inputs!$D$8-1+AC3-1,12)+1</f>
        <v/>
      </c>
      <c r="AD5" s="7">
        <f>MOD(Inputs!$D$8-1+AD3-1,12)+1</f>
        <v/>
      </c>
      <c r="AE5" s="7">
        <f>MOD(Inputs!$D$8-1+AE3-1,12)+1</f>
        <v/>
      </c>
      <c r="AF5" s="7">
        <f>MOD(Inputs!$D$8-1+AF3-1,12)+1</f>
        <v/>
      </c>
      <c r="AG5" s="7">
        <f>MOD(Inputs!$D$8-1+AG3-1,12)+1</f>
        <v/>
      </c>
      <c r="AH5" s="7">
        <f>MOD(Inputs!$D$8-1+AH3-1,12)+1</f>
        <v/>
      </c>
      <c r="AI5" s="7">
        <f>MOD(Inputs!$D$8-1+AI3-1,12)+1</f>
        <v/>
      </c>
      <c r="AJ5" s="7">
        <f>MOD(Inputs!$D$8-1+AJ3-1,12)+1</f>
        <v/>
      </c>
      <c r="AK5" s="7">
        <f>MOD(Inputs!$D$8-1+AK3-1,12)+1</f>
        <v/>
      </c>
      <c r="AL5" s="7">
        <f>MOD(Inputs!$D$8-1+AL3-1,12)+1</f>
        <v/>
      </c>
      <c r="AM5" s="7">
        <f>MOD(Inputs!$D$8-1+AM3-1,12)+1</f>
        <v/>
      </c>
      <c r="AN5" s="7">
        <f>MOD(Inputs!$D$8-1+AN3-1,12)+1</f>
        <v/>
      </c>
      <c r="AO5" s="7">
        <f>MOD(Inputs!$D$8-1+AO3-1,12)+1</f>
        <v/>
      </c>
      <c r="AP5" s="7">
        <f>MOD(Inputs!$D$8-1+AP3-1,12)+1</f>
        <v/>
      </c>
      <c r="AQ5" s="7">
        <f>MOD(Inputs!$D$8-1+AQ3-1,12)+1</f>
        <v/>
      </c>
      <c r="AR5" s="7">
        <f>MOD(Inputs!$D$8-1+AR3-1,12)+1</f>
        <v/>
      </c>
      <c r="AS5" s="7">
        <f>MOD(Inputs!$D$8-1+AS3-1,12)+1</f>
        <v/>
      </c>
      <c r="AT5" s="7">
        <f>MOD(Inputs!$D$8-1+AT3-1,12)+1</f>
        <v/>
      </c>
      <c r="AU5" s="7">
        <f>MOD(Inputs!$D$8-1+AU3-1,12)+1</f>
        <v/>
      </c>
      <c r="AV5" s="7">
        <f>MOD(Inputs!$D$8-1+AV3-1,12)+1</f>
        <v/>
      </c>
      <c r="AW5" s="7">
        <f>MOD(Inputs!$D$8-1+AW3-1,12)+1</f>
        <v/>
      </c>
      <c r="AX5" s="7">
        <f>MOD(Inputs!$D$8-1+AX3-1,12)+1</f>
        <v/>
      </c>
      <c r="AY5" s="7">
        <f>MOD(Inputs!$D$8-1+AY3-1,12)+1</f>
        <v/>
      </c>
      <c r="AZ5" s="7">
        <f>MOD(Inputs!$D$8-1+AZ3-1,12)+1</f>
        <v/>
      </c>
      <c r="BA5" s="7">
        <f>MOD(Inputs!$D$8-1+BA3-1,12)+1</f>
        <v/>
      </c>
      <c r="BB5" s="7">
        <f>MOD(Inputs!$D$8-1+BB3-1,12)+1</f>
        <v/>
      </c>
      <c r="BC5" s="7">
        <f>MOD(Inputs!$D$8-1+BC3-1,12)+1</f>
        <v/>
      </c>
      <c r="BD5" s="7">
        <f>MOD(Inputs!$D$8-1+BD3-1,12)+1</f>
        <v/>
      </c>
      <c r="BE5" s="7">
        <f>MOD(Inputs!$D$8-1+BE3-1,12)+1</f>
        <v/>
      </c>
      <c r="BF5" s="7">
        <f>MOD(Inputs!$D$8-1+BF3-1,12)+1</f>
        <v/>
      </c>
      <c r="BG5" s="7">
        <f>MOD(Inputs!$D$8-1+BG3-1,12)+1</f>
        <v/>
      </c>
      <c r="BH5" s="7">
        <f>MOD(Inputs!$D$8-1+BH3-1,12)+1</f>
        <v/>
      </c>
      <c r="BI5" s="7">
        <f>MOD(Inputs!$D$8-1+BI3-1,12)+1</f>
        <v/>
      </c>
      <c r="BJ5" s="7">
        <f>MOD(Inputs!$D$8-1+BJ3-1,12)+1</f>
        <v/>
      </c>
    </row>
    <row r="6">
      <c r="A6" t="inlineStr">
        <is>
          <t>Trading days</t>
        </is>
      </c>
      <c r="C6" s="24">
        <f>CHOOSE(C5,31,28,31,30,31,30,31,31,30,31,30,31)*Inputs!$D$9/365</f>
        <v/>
      </c>
      <c r="D6" s="24">
        <f>CHOOSE(D5,31,28,31,30,31,30,31,31,30,31,30,31)*Inputs!$D$9/365</f>
        <v/>
      </c>
      <c r="E6" s="24">
        <f>CHOOSE(E5,31,28,31,30,31,30,31,31,30,31,30,31)*Inputs!$D$9/365</f>
        <v/>
      </c>
      <c r="F6" s="24">
        <f>CHOOSE(F5,31,28,31,30,31,30,31,31,30,31,30,31)*Inputs!$D$9/365</f>
        <v/>
      </c>
      <c r="G6" s="24">
        <f>CHOOSE(G5,31,28,31,30,31,30,31,31,30,31,30,31)*Inputs!$D$9/365</f>
        <v/>
      </c>
      <c r="H6" s="24">
        <f>CHOOSE(H5,31,28,31,30,31,30,31,31,30,31,30,31)*Inputs!$D$9/365</f>
        <v/>
      </c>
      <c r="I6" s="24">
        <f>CHOOSE(I5,31,28,31,30,31,30,31,31,30,31,30,31)*Inputs!$D$9/365</f>
        <v/>
      </c>
      <c r="J6" s="24">
        <f>CHOOSE(J5,31,28,31,30,31,30,31,31,30,31,30,31)*Inputs!$D$9/365</f>
        <v/>
      </c>
      <c r="K6" s="24">
        <f>CHOOSE(K5,31,28,31,30,31,30,31,31,30,31,30,31)*Inputs!$D$9/365</f>
        <v/>
      </c>
      <c r="L6" s="24">
        <f>CHOOSE(L5,31,28,31,30,31,30,31,31,30,31,30,31)*Inputs!$D$9/365</f>
        <v/>
      </c>
      <c r="M6" s="24">
        <f>CHOOSE(M5,31,28,31,30,31,30,31,31,30,31,30,31)*Inputs!$D$9/365</f>
        <v/>
      </c>
      <c r="N6" s="24">
        <f>CHOOSE(N5,31,28,31,30,31,30,31,31,30,31,30,31)*Inputs!$D$9/365</f>
        <v/>
      </c>
      <c r="O6" s="24">
        <f>CHOOSE(O5,31,28,31,30,31,30,31,31,30,31,30,31)*Inputs!$D$9/365</f>
        <v/>
      </c>
      <c r="P6" s="24">
        <f>CHOOSE(P5,31,28,31,30,31,30,31,31,30,31,30,31)*Inputs!$D$9/365</f>
        <v/>
      </c>
      <c r="Q6" s="24">
        <f>CHOOSE(Q5,31,28,31,30,31,30,31,31,30,31,30,31)*Inputs!$D$9/365</f>
        <v/>
      </c>
      <c r="R6" s="24">
        <f>CHOOSE(R5,31,28,31,30,31,30,31,31,30,31,30,31)*Inputs!$D$9/365</f>
        <v/>
      </c>
      <c r="S6" s="24">
        <f>CHOOSE(S5,31,28,31,30,31,30,31,31,30,31,30,31)*Inputs!$D$9/365</f>
        <v/>
      </c>
      <c r="T6" s="24">
        <f>CHOOSE(T5,31,28,31,30,31,30,31,31,30,31,30,31)*Inputs!$D$9/365</f>
        <v/>
      </c>
      <c r="U6" s="24">
        <f>CHOOSE(U5,31,28,31,30,31,30,31,31,30,31,30,31)*Inputs!$D$9/365</f>
        <v/>
      </c>
      <c r="V6" s="24">
        <f>CHOOSE(V5,31,28,31,30,31,30,31,31,30,31,30,31)*Inputs!$D$9/365</f>
        <v/>
      </c>
      <c r="W6" s="24">
        <f>CHOOSE(W5,31,28,31,30,31,30,31,31,30,31,30,31)*Inputs!$D$9/365</f>
        <v/>
      </c>
      <c r="X6" s="24">
        <f>CHOOSE(X5,31,28,31,30,31,30,31,31,30,31,30,31)*Inputs!$D$9/365</f>
        <v/>
      </c>
      <c r="Y6" s="24">
        <f>CHOOSE(Y5,31,28,31,30,31,30,31,31,30,31,30,31)*Inputs!$D$9/365</f>
        <v/>
      </c>
      <c r="Z6" s="24">
        <f>CHOOSE(Z5,31,28,31,30,31,30,31,31,30,31,30,31)*Inputs!$D$9/365</f>
        <v/>
      </c>
      <c r="AA6" s="24">
        <f>CHOOSE(AA5,31,28,31,30,31,30,31,31,30,31,30,31)*Inputs!$D$9/365</f>
        <v/>
      </c>
      <c r="AB6" s="24">
        <f>CHOOSE(AB5,31,28,31,30,31,30,31,31,30,31,30,31)*Inputs!$D$9/365</f>
        <v/>
      </c>
      <c r="AC6" s="24">
        <f>CHOOSE(AC5,31,28,31,30,31,30,31,31,30,31,30,31)*Inputs!$D$9/365</f>
        <v/>
      </c>
      <c r="AD6" s="24">
        <f>CHOOSE(AD5,31,28,31,30,31,30,31,31,30,31,30,31)*Inputs!$D$9/365</f>
        <v/>
      </c>
      <c r="AE6" s="24">
        <f>CHOOSE(AE5,31,28,31,30,31,30,31,31,30,31,30,31)*Inputs!$D$9/365</f>
        <v/>
      </c>
      <c r="AF6" s="24">
        <f>CHOOSE(AF5,31,28,31,30,31,30,31,31,30,31,30,31)*Inputs!$D$9/365</f>
        <v/>
      </c>
      <c r="AG6" s="24">
        <f>CHOOSE(AG5,31,28,31,30,31,30,31,31,30,31,30,31)*Inputs!$D$9/365</f>
        <v/>
      </c>
      <c r="AH6" s="24">
        <f>CHOOSE(AH5,31,28,31,30,31,30,31,31,30,31,30,31)*Inputs!$D$9/365</f>
        <v/>
      </c>
      <c r="AI6" s="24">
        <f>CHOOSE(AI5,31,28,31,30,31,30,31,31,30,31,30,31)*Inputs!$D$9/365</f>
        <v/>
      </c>
      <c r="AJ6" s="24">
        <f>CHOOSE(AJ5,31,28,31,30,31,30,31,31,30,31,30,31)*Inputs!$D$9/365</f>
        <v/>
      </c>
      <c r="AK6" s="24">
        <f>CHOOSE(AK5,31,28,31,30,31,30,31,31,30,31,30,31)*Inputs!$D$9/365</f>
        <v/>
      </c>
      <c r="AL6" s="24">
        <f>CHOOSE(AL5,31,28,31,30,31,30,31,31,30,31,30,31)*Inputs!$D$9/365</f>
        <v/>
      </c>
      <c r="AM6" s="24">
        <f>CHOOSE(AM5,31,28,31,30,31,30,31,31,30,31,30,31)*Inputs!$D$9/365</f>
        <v/>
      </c>
      <c r="AN6" s="24">
        <f>CHOOSE(AN5,31,28,31,30,31,30,31,31,30,31,30,31)*Inputs!$D$9/365</f>
        <v/>
      </c>
      <c r="AO6" s="24">
        <f>CHOOSE(AO5,31,28,31,30,31,30,31,31,30,31,30,31)*Inputs!$D$9/365</f>
        <v/>
      </c>
      <c r="AP6" s="24">
        <f>CHOOSE(AP5,31,28,31,30,31,30,31,31,30,31,30,31)*Inputs!$D$9/365</f>
        <v/>
      </c>
      <c r="AQ6" s="24">
        <f>CHOOSE(AQ5,31,28,31,30,31,30,31,31,30,31,30,31)*Inputs!$D$9/365</f>
        <v/>
      </c>
      <c r="AR6" s="24">
        <f>CHOOSE(AR5,31,28,31,30,31,30,31,31,30,31,30,31)*Inputs!$D$9/365</f>
        <v/>
      </c>
      <c r="AS6" s="24">
        <f>CHOOSE(AS5,31,28,31,30,31,30,31,31,30,31,30,31)*Inputs!$D$9/365</f>
        <v/>
      </c>
      <c r="AT6" s="24">
        <f>CHOOSE(AT5,31,28,31,30,31,30,31,31,30,31,30,31)*Inputs!$D$9/365</f>
        <v/>
      </c>
      <c r="AU6" s="24">
        <f>CHOOSE(AU5,31,28,31,30,31,30,31,31,30,31,30,31)*Inputs!$D$9/365</f>
        <v/>
      </c>
      <c r="AV6" s="24">
        <f>CHOOSE(AV5,31,28,31,30,31,30,31,31,30,31,30,31)*Inputs!$D$9/365</f>
        <v/>
      </c>
      <c r="AW6" s="24">
        <f>CHOOSE(AW5,31,28,31,30,31,30,31,31,30,31,30,31)*Inputs!$D$9/365</f>
        <v/>
      </c>
      <c r="AX6" s="24">
        <f>CHOOSE(AX5,31,28,31,30,31,30,31,31,30,31,30,31)*Inputs!$D$9/365</f>
        <v/>
      </c>
      <c r="AY6" s="24">
        <f>CHOOSE(AY5,31,28,31,30,31,30,31,31,30,31,30,31)*Inputs!$D$9/365</f>
        <v/>
      </c>
      <c r="AZ6" s="24">
        <f>CHOOSE(AZ5,31,28,31,30,31,30,31,31,30,31,30,31)*Inputs!$D$9/365</f>
        <v/>
      </c>
      <c r="BA6" s="24">
        <f>CHOOSE(BA5,31,28,31,30,31,30,31,31,30,31,30,31)*Inputs!$D$9/365</f>
        <v/>
      </c>
      <c r="BB6" s="24">
        <f>CHOOSE(BB5,31,28,31,30,31,30,31,31,30,31,30,31)*Inputs!$D$9/365</f>
        <v/>
      </c>
      <c r="BC6" s="24">
        <f>CHOOSE(BC5,31,28,31,30,31,30,31,31,30,31,30,31)*Inputs!$D$9/365</f>
        <v/>
      </c>
      <c r="BD6" s="24">
        <f>CHOOSE(BD5,31,28,31,30,31,30,31,31,30,31,30,31)*Inputs!$D$9/365</f>
        <v/>
      </c>
      <c r="BE6" s="24">
        <f>CHOOSE(BE5,31,28,31,30,31,30,31,31,30,31,30,31)*Inputs!$D$9/365</f>
        <v/>
      </c>
      <c r="BF6" s="24">
        <f>CHOOSE(BF5,31,28,31,30,31,30,31,31,30,31,30,31)*Inputs!$D$9/365</f>
        <v/>
      </c>
      <c r="BG6" s="24">
        <f>CHOOSE(BG5,31,28,31,30,31,30,31,31,30,31,30,31)*Inputs!$D$9/365</f>
        <v/>
      </c>
      <c r="BH6" s="24">
        <f>CHOOSE(BH5,31,28,31,30,31,30,31,31,30,31,30,31)*Inputs!$D$9/365</f>
        <v/>
      </c>
      <c r="BI6" s="24">
        <f>CHOOSE(BI5,31,28,31,30,31,30,31,31,30,31,30,31)*Inputs!$D$9/365</f>
        <v/>
      </c>
      <c r="BJ6" s="24">
        <f>CHOOSE(BJ5,31,28,31,30,31,30,31,31,30,31,30,31)*Inputs!$D$9/365</f>
        <v/>
      </c>
    </row>
    <row r="7">
      <c r="A7" t="inlineStr">
        <is>
          <t>Seasonality index</t>
        </is>
      </c>
      <c r="C7" s="24">
        <f>INDEX(Inputs!$D$31:$D$42,C5)</f>
        <v/>
      </c>
      <c r="D7" s="24">
        <f>INDEX(Inputs!$D$31:$D$42,D5)</f>
        <v/>
      </c>
      <c r="E7" s="24">
        <f>INDEX(Inputs!$D$31:$D$42,E5)</f>
        <v/>
      </c>
      <c r="F7" s="24">
        <f>INDEX(Inputs!$D$31:$D$42,F5)</f>
        <v/>
      </c>
      <c r="G7" s="24">
        <f>INDEX(Inputs!$D$31:$D$42,G5)</f>
        <v/>
      </c>
      <c r="H7" s="24">
        <f>INDEX(Inputs!$D$31:$D$42,H5)</f>
        <v/>
      </c>
      <c r="I7" s="24">
        <f>INDEX(Inputs!$D$31:$D$42,I5)</f>
        <v/>
      </c>
      <c r="J7" s="24">
        <f>INDEX(Inputs!$D$31:$D$42,J5)</f>
        <v/>
      </c>
      <c r="K7" s="24">
        <f>INDEX(Inputs!$D$31:$D$42,K5)</f>
        <v/>
      </c>
      <c r="L7" s="24">
        <f>INDEX(Inputs!$D$31:$D$42,L5)</f>
        <v/>
      </c>
      <c r="M7" s="24">
        <f>INDEX(Inputs!$D$31:$D$42,M5)</f>
        <v/>
      </c>
      <c r="N7" s="24">
        <f>INDEX(Inputs!$D$31:$D$42,N5)</f>
        <v/>
      </c>
      <c r="O7" s="24">
        <f>INDEX(Inputs!$D$31:$D$42,O5)</f>
        <v/>
      </c>
      <c r="P7" s="24">
        <f>INDEX(Inputs!$D$31:$D$42,P5)</f>
        <v/>
      </c>
      <c r="Q7" s="24">
        <f>INDEX(Inputs!$D$31:$D$42,Q5)</f>
        <v/>
      </c>
      <c r="R7" s="24">
        <f>INDEX(Inputs!$D$31:$D$42,R5)</f>
        <v/>
      </c>
      <c r="S7" s="24">
        <f>INDEX(Inputs!$D$31:$D$42,S5)</f>
        <v/>
      </c>
      <c r="T7" s="24">
        <f>INDEX(Inputs!$D$31:$D$42,T5)</f>
        <v/>
      </c>
      <c r="U7" s="24">
        <f>INDEX(Inputs!$D$31:$D$42,U5)</f>
        <v/>
      </c>
      <c r="V7" s="24">
        <f>INDEX(Inputs!$D$31:$D$42,V5)</f>
        <v/>
      </c>
      <c r="W7" s="24">
        <f>INDEX(Inputs!$D$31:$D$42,W5)</f>
        <v/>
      </c>
      <c r="X7" s="24">
        <f>INDEX(Inputs!$D$31:$D$42,X5)</f>
        <v/>
      </c>
      <c r="Y7" s="24">
        <f>INDEX(Inputs!$D$31:$D$42,Y5)</f>
        <v/>
      </c>
      <c r="Z7" s="24">
        <f>INDEX(Inputs!$D$31:$D$42,Z5)</f>
        <v/>
      </c>
      <c r="AA7" s="24">
        <f>INDEX(Inputs!$D$31:$D$42,AA5)</f>
        <v/>
      </c>
      <c r="AB7" s="24">
        <f>INDEX(Inputs!$D$31:$D$42,AB5)</f>
        <v/>
      </c>
      <c r="AC7" s="24">
        <f>INDEX(Inputs!$D$31:$D$42,AC5)</f>
        <v/>
      </c>
      <c r="AD7" s="24">
        <f>INDEX(Inputs!$D$31:$D$42,AD5)</f>
        <v/>
      </c>
      <c r="AE7" s="24">
        <f>INDEX(Inputs!$D$31:$D$42,AE5)</f>
        <v/>
      </c>
      <c r="AF7" s="24">
        <f>INDEX(Inputs!$D$31:$D$42,AF5)</f>
        <v/>
      </c>
      <c r="AG7" s="24">
        <f>INDEX(Inputs!$D$31:$D$42,AG5)</f>
        <v/>
      </c>
      <c r="AH7" s="24">
        <f>INDEX(Inputs!$D$31:$D$42,AH5)</f>
        <v/>
      </c>
      <c r="AI7" s="24">
        <f>INDEX(Inputs!$D$31:$D$42,AI5)</f>
        <v/>
      </c>
      <c r="AJ7" s="24">
        <f>INDEX(Inputs!$D$31:$D$42,AJ5)</f>
        <v/>
      </c>
      <c r="AK7" s="24">
        <f>INDEX(Inputs!$D$31:$D$42,AK5)</f>
        <v/>
      </c>
      <c r="AL7" s="24">
        <f>INDEX(Inputs!$D$31:$D$42,AL5)</f>
        <v/>
      </c>
      <c r="AM7" s="24">
        <f>INDEX(Inputs!$D$31:$D$42,AM5)</f>
        <v/>
      </c>
      <c r="AN7" s="24">
        <f>INDEX(Inputs!$D$31:$D$42,AN5)</f>
        <v/>
      </c>
      <c r="AO7" s="24">
        <f>INDEX(Inputs!$D$31:$D$42,AO5)</f>
        <v/>
      </c>
      <c r="AP7" s="24">
        <f>INDEX(Inputs!$D$31:$D$42,AP5)</f>
        <v/>
      </c>
      <c r="AQ7" s="24">
        <f>INDEX(Inputs!$D$31:$D$42,AQ5)</f>
        <v/>
      </c>
      <c r="AR7" s="24">
        <f>INDEX(Inputs!$D$31:$D$42,AR5)</f>
        <v/>
      </c>
      <c r="AS7" s="24">
        <f>INDEX(Inputs!$D$31:$D$42,AS5)</f>
        <v/>
      </c>
      <c r="AT7" s="24">
        <f>INDEX(Inputs!$D$31:$D$42,AT5)</f>
        <v/>
      </c>
      <c r="AU7" s="24">
        <f>INDEX(Inputs!$D$31:$D$42,AU5)</f>
        <v/>
      </c>
      <c r="AV7" s="24">
        <f>INDEX(Inputs!$D$31:$D$42,AV5)</f>
        <v/>
      </c>
      <c r="AW7" s="24">
        <f>INDEX(Inputs!$D$31:$D$42,AW5)</f>
        <v/>
      </c>
      <c r="AX7" s="24">
        <f>INDEX(Inputs!$D$31:$D$42,AX5)</f>
        <v/>
      </c>
      <c r="AY7" s="24">
        <f>INDEX(Inputs!$D$31:$D$42,AY5)</f>
        <v/>
      </c>
      <c r="AZ7" s="24">
        <f>INDEX(Inputs!$D$31:$D$42,AZ5)</f>
        <v/>
      </c>
      <c r="BA7" s="24">
        <f>INDEX(Inputs!$D$31:$D$42,BA5)</f>
        <v/>
      </c>
      <c r="BB7" s="24">
        <f>INDEX(Inputs!$D$31:$D$42,BB5)</f>
        <v/>
      </c>
      <c r="BC7" s="24">
        <f>INDEX(Inputs!$D$31:$D$42,BC5)</f>
        <v/>
      </c>
      <c r="BD7" s="24">
        <f>INDEX(Inputs!$D$31:$D$42,BD5)</f>
        <v/>
      </c>
      <c r="BE7" s="24">
        <f>INDEX(Inputs!$D$31:$D$42,BE5)</f>
        <v/>
      </c>
      <c r="BF7" s="24">
        <f>INDEX(Inputs!$D$31:$D$42,BF5)</f>
        <v/>
      </c>
      <c r="BG7" s="24">
        <f>INDEX(Inputs!$D$31:$D$42,BG5)</f>
        <v/>
      </c>
      <c r="BH7" s="24">
        <f>INDEX(Inputs!$D$31:$D$42,BH5)</f>
        <v/>
      </c>
      <c r="BI7" s="24">
        <f>INDEX(Inputs!$D$31:$D$42,BI5)</f>
        <v/>
      </c>
      <c r="BJ7" s="24">
        <f>INDEX(Inputs!$D$31:$D$42,BJ5)</f>
        <v/>
      </c>
    </row>
    <row r="8">
      <c r="A8" t="inlineStr">
        <is>
          <t>Passing traffic (veh/day)</t>
        </is>
      </c>
      <c r="C8" s="3">
        <f>Inputs!$D$21*(1+Inputs!$D$22)^(C4-1)*C7</f>
        <v/>
      </c>
      <c r="D8" s="3">
        <f>Inputs!$D$21*(1+Inputs!$D$22)^(D4-1)*D7</f>
        <v/>
      </c>
      <c r="E8" s="3">
        <f>Inputs!$D$21*(1+Inputs!$D$22)^(E4-1)*E7</f>
        <v/>
      </c>
      <c r="F8" s="3">
        <f>Inputs!$D$21*(1+Inputs!$D$22)^(F4-1)*F7</f>
        <v/>
      </c>
      <c r="G8" s="3">
        <f>Inputs!$D$21*(1+Inputs!$D$22)^(G4-1)*G7</f>
        <v/>
      </c>
      <c r="H8" s="3">
        <f>Inputs!$D$21*(1+Inputs!$D$22)^(H4-1)*H7</f>
        <v/>
      </c>
      <c r="I8" s="3">
        <f>Inputs!$D$21*(1+Inputs!$D$22)^(I4-1)*I7</f>
        <v/>
      </c>
      <c r="J8" s="3">
        <f>Inputs!$D$21*(1+Inputs!$D$22)^(J4-1)*J7</f>
        <v/>
      </c>
      <c r="K8" s="3">
        <f>Inputs!$D$21*(1+Inputs!$D$22)^(K4-1)*K7</f>
        <v/>
      </c>
      <c r="L8" s="3">
        <f>Inputs!$D$21*(1+Inputs!$D$22)^(L4-1)*L7</f>
        <v/>
      </c>
      <c r="M8" s="3">
        <f>Inputs!$D$21*(1+Inputs!$D$22)^(M4-1)*M7</f>
        <v/>
      </c>
      <c r="N8" s="3">
        <f>Inputs!$D$21*(1+Inputs!$D$22)^(N4-1)*N7</f>
        <v/>
      </c>
      <c r="O8" s="3">
        <f>Inputs!$D$21*(1+Inputs!$D$22)^(O4-1)*O7</f>
        <v/>
      </c>
      <c r="P8" s="3">
        <f>Inputs!$D$21*(1+Inputs!$D$22)^(P4-1)*P7</f>
        <v/>
      </c>
      <c r="Q8" s="3">
        <f>Inputs!$D$21*(1+Inputs!$D$22)^(Q4-1)*Q7</f>
        <v/>
      </c>
      <c r="R8" s="3">
        <f>Inputs!$D$21*(1+Inputs!$D$22)^(R4-1)*R7</f>
        <v/>
      </c>
      <c r="S8" s="3">
        <f>Inputs!$D$21*(1+Inputs!$D$22)^(S4-1)*S7</f>
        <v/>
      </c>
      <c r="T8" s="3">
        <f>Inputs!$D$21*(1+Inputs!$D$22)^(T4-1)*T7</f>
        <v/>
      </c>
      <c r="U8" s="3">
        <f>Inputs!$D$21*(1+Inputs!$D$22)^(U4-1)*U7</f>
        <v/>
      </c>
      <c r="V8" s="3">
        <f>Inputs!$D$21*(1+Inputs!$D$22)^(V4-1)*V7</f>
        <v/>
      </c>
      <c r="W8" s="3">
        <f>Inputs!$D$21*(1+Inputs!$D$22)^(W4-1)*W7</f>
        <v/>
      </c>
      <c r="X8" s="3">
        <f>Inputs!$D$21*(1+Inputs!$D$22)^(X4-1)*X7</f>
        <v/>
      </c>
      <c r="Y8" s="3">
        <f>Inputs!$D$21*(1+Inputs!$D$22)^(Y4-1)*Y7</f>
        <v/>
      </c>
      <c r="Z8" s="3">
        <f>Inputs!$D$21*(1+Inputs!$D$22)^(Z4-1)*Z7</f>
        <v/>
      </c>
      <c r="AA8" s="3">
        <f>Inputs!$D$21*(1+Inputs!$D$22)^(AA4-1)*AA7</f>
        <v/>
      </c>
      <c r="AB8" s="3">
        <f>Inputs!$D$21*(1+Inputs!$D$22)^(AB4-1)*AB7</f>
        <v/>
      </c>
      <c r="AC8" s="3">
        <f>Inputs!$D$21*(1+Inputs!$D$22)^(AC4-1)*AC7</f>
        <v/>
      </c>
      <c r="AD8" s="3">
        <f>Inputs!$D$21*(1+Inputs!$D$22)^(AD4-1)*AD7</f>
        <v/>
      </c>
      <c r="AE8" s="3">
        <f>Inputs!$D$21*(1+Inputs!$D$22)^(AE4-1)*AE7</f>
        <v/>
      </c>
      <c r="AF8" s="3">
        <f>Inputs!$D$21*(1+Inputs!$D$22)^(AF4-1)*AF7</f>
        <v/>
      </c>
      <c r="AG8" s="3">
        <f>Inputs!$D$21*(1+Inputs!$D$22)^(AG4-1)*AG7</f>
        <v/>
      </c>
      <c r="AH8" s="3">
        <f>Inputs!$D$21*(1+Inputs!$D$22)^(AH4-1)*AH7</f>
        <v/>
      </c>
      <c r="AI8" s="3">
        <f>Inputs!$D$21*(1+Inputs!$D$22)^(AI4-1)*AI7</f>
        <v/>
      </c>
      <c r="AJ8" s="3">
        <f>Inputs!$D$21*(1+Inputs!$D$22)^(AJ4-1)*AJ7</f>
        <v/>
      </c>
      <c r="AK8" s="3">
        <f>Inputs!$D$21*(1+Inputs!$D$22)^(AK4-1)*AK7</f>
        <v/>
      </c>
      <c r="AL8" s="3">
        <f>Inputs!$D$21*(1+Inputs!$D$22)^(AL4-1)*AL7</f>
        <v/>
      </c>
      <c r="AM8" s="3">
        <f>Inputs!$D$21*(1+Inputs!$D$22)^(AM4-1)*AM7</f>
        <v/>
      </c>
      <c r="AN8" s="3">
        <f>Inputs!$D$21*(1+Inputs!$D$22)^(AN4-1)*AN7</f>
        <v/>
      </c>
      <c r="AO8" s="3">
        <f>Inputs!$D$21*(1+Inputs!$D$22)^(AO4-1)*AO7</f>
        <v/>
      </c>
      <c r="AP8" s="3">
        <f>Inputs!$D$21*(1+Inputs!$D$22)^(AP4-1)*AP7</f>
        <v/>
      </c>
      <c r="AQ8" s="3">
        <f>Inputs!$D$21*(1+Inputs!$D$22)^(AQ4-1)*AQ7</f>
        <v/>
      </c>
      <c r="AR8" s="3">
        <f>Inputs!$D$21*(1+Inputs!$D$22)^(AR4-1)*AR7</f>
        <v/>
      </c>
      <c r="AS8" s="3">
        <f>Inputs!$D$21*(1+Inputs!$D$22)^(AS4-1)*AS7</f>
        <v/>
      </c>
      <c r="AT8" s="3">
        <f>Inputs!$D$21*(1+Inputs!$D$22)^(AT4-1)*AT7</f>
        <v/>
      </c>
      <c r="AU8" s="3">
        <f>Inputs!$D$21*(1+Inputs!$D$22)^(AU4-1)*AU7</f>
        <v/>
      </c>
      <c r="AV8" s="3">
        <f>Inputs!$D$21*(1+Inputs!$D$22)^(AV4-1)*AV7</f>
        <v/>
      </c>
      <c r="AW8" s="3">
        <f>Inputs!$D$21*(1+Inputs!$D$22)^(AW4-1)*AW7</f>
        <v/>
      </c>
      <c r="AX8" s="3">
        <f>Inputs!$D$21*(1+Inputs!$D$22)^(AX4-1)*AX7</f>
        <v/>
      </c>
      <c r="AY8" s="3">
        <f>Inputs!$D$21*(1+Inputs!$D$22)^(AY4-1)*AY7</f>
        <v/>
      </c>
      <c r="AZ8" s="3">
        <f>Inputs!$D$21*(1+Inputs!$D$22)^(AZ4-1)*AZ7</f>
        <v/>
      </c>
      <c r="BA8" s="3">
        <f>Inputs!$D$21*(1+Inputs!$D$22)^(BA4-1)*BA7</f>
        <v/>
      </c>
      <c r="BB8" s="3">
        <f>Inputs!$D$21*(1+Inputs!$D$22)^(BB4-1)*BB7</f>
        <v/>
      </c>
      <c r="BC8" s="3">
        <f>Inputs!$D$21*(1+Inputs!$D$22)^(BC4-1)*BC7</f>
        <v/>
      </c>
      <c r="BD8" s="3">
        <f>Inputs!$D$21*(1+Inputs!$D$22)^(BD4-1)*BD7</f>
        <v/>
      </c>
      <c r="BE8" s="3">
        <f>Inputs!$D$21*(1+Inputs!$D$22)^(BE4-1)*BE7</f>
        <v/>
      </c>
      <c r="BF8" s="3">
        <f>Inputs!$D$21*(1+Inputs!$D$22)^(BF4-1)*BF7</f>
        <v/>
      </c>
      <c r="BG8" s="3">
        <f>Inputs!$D$21*(1+Inputs!$D$22)^(BG4-1)*BG7</f>
        <v/>
      </c>
      <c r="BH8" s="3">
        <f>Inputs!$D$21*(1+Inputs!$D$22)^(BH4-1)*BH7</f>
        <v/>
      </c>
      <c r="BI8" s="3">
        <f>Inputs!$D$21*(1+Inputs!$D$22)^(BI4-1)*BI7</f>
        <v/>
      </c>
      <c r="BJ8" s="3">
        <f>Inputs!$D$21*(1+Inputs!$D$22)^(BJ4-1)*BJ7</f>
        <v/>
      </c>
    </row>
    <row r="9">
      <c r="A9" t="inlineStr">
        <is>
          <t>Ramp multiplier</t>
        </is>
      </c>
      <c r="C9" s="24">
        <f>IF(C3&lt;=12,INDEX(Inputs!$D$45:$D$56,C3),1)</f>
        <v/>
      </c>
      <c r="D9" s="24">
        <f>IF(D3&lt;=12,INDEX(Inputs!$D$45:$D$56,D3),1)</f>
        <v/>
      </c>
      <c r="E9" s="24">
        <f>IF(E3&lt;=12,INDEX(Inputs!$D$45:$D$56,E3),1)</f>
        <v/>
      </c>
      <c r="F9" s="24">
        <f>IF(F3&lt;=12,INDEX(Inputs!$D$45:$D$56,F3),1)</f>
        <v/>
      </c>
      <c r="G9" s="24">
        <f>IF(G3&lt;=12,INDEX(Inputs!$D$45:$D$56,G3),1)</f>
        <v/>
      </c>
      <c r="H9" s="24">
        <f>IF(H3&lt;=12,INDEX(Inputs!$D$45:$D$56,H3),1)</f>
        <v/>
      </c>
      <c r="I9" s="24">
        <f>IF(I3&lt;=12,INDEX(Inputs!$D$45:$D$56,I3),1)</f>
        <v/>
      </c>
      <c r="J9" s="24">
        <f>IF(J3&lt;=12,INDEX(Inputs!$D$45:$D$56,J3),1)</f>
        <v/>
      </c>
      <c r="K9" s="24">
        <f>IF(K3&lt;=12,INDEX(Inputs!$D$45:$D$56,K3),1)</f>
        <v/>
      </c>
      <c r="L9" s="24">
        <f>IF(L3&lt;=12,INDEX(Inputs!$D$45:$D$56,L3),1)</f>
        <v/>
      </c>
      <c r="M9" s="24">
        <f>IF(M3&lt;=12,INDEX(Inputs!$D$45:$D$56,M3),1)</f>
        <v/>
      </c>
      <c r="N9" s="24">
        <f>IF(N3&lt;=12,INDEX(Inputs!$D$45:$D$56,N3),1)</f>
        <v/>
      </c>
      <c r="O9" s="24">
        <f>IF(O3&lt;=12,INDEX(Inputs!$D$45:$D$56,O3),1)</f>
        <v/>
      </c>
      <c r="P9" s="24">
        <f>IF(P3&lt;=12,INDEX(Inputs!$D$45:$D$56,P3),1)</f>
        <v/>
      </c>
      <c r="Q9" s="24">
        <f>IF(Q3&lt;=12,INDEX(Inputs!$D$45:$D$56,Q3),1)</f>
        <v/>
      </c>
      <c r="R9" s="24">
        <f>IF(R3&lt;=12,INDEX(Inputs!$D$45:$D$56,R3),1)</f>
        <v/>
      </c>
      <c r="S9" s="24">
        <f>IF(S3&lt;=12,INDEX(Inputs!$D$45:$D$56,S3),1)</f>
        <v/>
      </c>
      <c r="T9" s="24">
        <f>IF(T3&lt;=12,INDEX(Inputs!$D$45:$D$56,T3),1)</f>
        <v/>
      </c>
      <c r="U9" s="24">
        <f>IF(U3&lt;=12,INDEX(Inputs!$D$45:$D$56,U3),1)</f>
        <v/>
      </c>
      <c r="V9" s="24">
        <f>IF(V3&lt;=12,INDEX(Inputs!$D$45:$D$56,V3),1)</f>
        <v/>
      </c>
      <c r="W9" s="24">
        <f>IF(W3&lt;=12,INDEX(Inputs!$D$45:$D$56,W3),1)</f>
        <v/>
      </c>
      <c r="X9" s="24">
        <f>IF(X3&lt;=12,INDEX(Inputs!$D$45:$D$56,X3),1)</f>
        <v/>
      </c>
      <c r="Y9" s="24">
        <f>IF(Y3&lt;=12,INDEX(Inputs!$D$45:$D$56,Y3),1)</f>
        <v/>
      </c>
      <c r="Z9" s="24">
        <f>IF(Z3&lt;=12,INDEX(Inputs!$D$45:$D$56,Z3),1)</f>
        <v/>
      </c>
      <c r="AA9" s="24">
        <f>IF(AA3&lt;=12,INDEX(Inputs!$D$45:$D$56,AA3),1)</f>
        <v/>
      </c>
      <c r="AB9" s="24">
        <f>IF(AB3&lt;=12,INDEX(Inputs!$D$45:$D$56,AB3),1)</f>
        <v/>
      </c>
      <c r="AC9" s="24">
        <f>IF(AC3&lt;=12,INDEX(Inputs!$D$45:$D$56,AC3),1)</f>
        <v/>
      </c>
      <c r="AD9" s="24">
        <f>IF(AD3&lt;=12,INDEX(Inputs!$D$45:$D$56,AD3),1)</f>
        <v/>
      </c>
      <c r="AE9" s="24">
        <f>IF(AE3&lt;=12,INDEX(Inputs!$D$45:$D$56,AE3),1)</f>
        <v/>
      </c>
      <c r="AF9" s="24">
        <f>IF(AF3&lt;=12,INDEX(Inputs!$D$45:$D$56,AF3),1)</f>
        <v/>
      </c>
      <c r="AG9" s="24">
        <f>IF(AG3&lt;=12,INDEX(Inputs!$D$45:$D$56,AG3),1)</f>
        <v/>
      </c>
      <c r="AH9" s="24">
        <f>IF(AH3&lt;=12,INDEX(Inputs!$D$45:$D$56,AH3),1)</f>
        <v/>
      </c>
      <c r="AI9" s="24">
        <f>IF(AI3&lt;=12,INDEX(Inputs!$D$45:$D$56,AI3),1)</f>
        <v/>
      </c>
      <c r="AJ9" s="24">
        <f>IF(AJ3&lt;=12,INDEX(Inputs!$D$45:$D$56,AJ3),1)</f>
        <v/>
      </c>
      <c r="AK9" s="24">
        <f>IF(AK3&lt;=12,INDEX(Inputs!$D$45:$D$56,AK3),1)</f>
        <v/>
      </c>
      <c r="AL9" s="24">
        <f>IF(AL3&lt;=12,INDEX(Inputs!$D$45:$D$56,AL3),1)</f>
        <v/>
      </c>
      <c r="AM9" s="24">
        <f>IF(AM3&lt;=12,INDEX(Inputs!$D$45:$D$56,AM3),1)</f>
        <v/>
      </c>
      <c r="AN9" s="24">
        <f>IF(AN3&lt;=12,INDEX(Inputs!$D$45:$D$56,AN3),1)</f>
        <v/>
      </c>
      <c r="AO9" s="24">
        <f>IF(AO3&lt;=12,INDEX(Inputs!$D$45:$D$56,AO3),1)</f>
        <v/>
      </c>
      <c r="AP9" s="24">
        <f>IF(AP3&lt;=12,INDEX(Inputs!$D$45:$D$56,AP3),1)</f>
        <v/>
      </c>
      <c r="AQ9" s="24">
        <f>IF(AQ3&lt;=12,INDEX(Inputs!$D$45:$D$56,AQ3),1)</f>
        <v/>
      </c>
      <c r="AR9" s="24">
        <f>IF(AR3&lt;=12,INDEX(Inputs!$D$45:$D$56,AR3),1)</f>
        <v/>
      </c>
      <c r="AS9" s="24">
        <f>IF(AS3&lt;=12,INDEX(Inputs!$D$45:$D$56,AS3),1)</f>
        <v/>
      </c>
      <c r="AT9" s="24">
        <f>IF(AT3&lt;=12,INDEX(Inputs!$D$45:$D$56,AT3),1)</f>
        <v/>
      </c>
      <c r="AU9" s="24">
        <f>IF(AU3&lt;=12,INDEX(Inputs!$D$45:$D$56,AU3),1)</f>
        <v/>
      </c>
      <c r="AV9" s="24">
        <f>IF(AV3&lt;=12,INDEX(Inputs!$D$45:$D$56,AV3),1)</f>
        <v/>
      </c>
      <c r="AW9" s="24">
        <f>IF(AW3&lt;=12,INDEX(Inputs!$D$45:$D$56,AW3),1)</f>
        <v/>
      </c>
      <c r="AX9" s="24">
        <f>IF(AX3&lt;=12,INDEX(Inputs!$D$45:$D$56,AX3),1)</f>
        <v/>
      </c>
      <c r="AY9" s="24">
        <f>IF(AY3&lt;=12,INDEX(Inputs!$D$45:$D$56,AY3),1)</f>
        <v/>
      </c>
      <c r="AZ9" s="24">
        <f>IF(AZ3&lt;=12,INDEX(Inputs!$D$45:$D$56,AZ3),1)</f>
        <v/>
      </c>
      <c r="BA9" s="24">
        <f>IF(BA3&lt;=12,INDEX(Inputs!$D$45:$D$56,BA3),1)</f>
        <v/>
      </c>
      <c r="BB9" s="24">
        <f>IF(BB3&lt;=12,INDEX(Inputs!$D$45:$D$56,BB3),1)</f>
        <v/>
      </c>
      <c r="BC9" s="24">
        <f>IF(BC3&lt;=12,INDEX(Inputs!$D$45:$D$56,BC3),1)</f>
        <v/>
      </c>
      <c r="BD9" s="24">
        <f>IF(BD3&lt;=12,INDEX(Inputs!$D$45:$D$56,BD3),1)</f>
        <v/>
      </c>
      <c r="BE9" s="24">
        <f>IF(BE3&lt;=12,INDEX(Inputs!$D$45:$D$56,BE3),1)</f>
        <v/>
      </c>
      <c r="BF9" s="24">
        <f>IF(BF3&lt;=12,INDEX(Inputs!$D$45:$D$56,BF3),1)</f>
        <v/>
      </c>
      <c r="BG9" s="24">
        <f>IF(BG3&lt;=12,INDEX(Inputs!$D$45:$D$56,BG3),1)</f>
        <v/>
      </c>
      <c r="BH9" s="24">
        <f>IF(BH3&lt;=12,INDEX(Inputs!$D$45:$D$56,BH3),1)</f>
        <v/>
      </c>
      <c r="BI9" s="24">
        <f>IF(BI3&lt;=12,INDEX(Inputs!$D$45:$D$56,BI3),1)</f>
        <v/>
      </c>
      <c r="BJ9" s="24">
        <f>IF(BJ3&lt;=12,INDEX(Inputs!$D$45:$D$56,BJ3),1)</f>
        <v/>
      </c>
    </row>
    <row r="10">
      <c r="A10" t="inlineStr">
        <is>
          <t>Capture rate</t>
        </is>
      </c>
      <c r="C10" s="25">
        <f>Inputs!$D$24*(1+Inputs!$D$25)^(C4-1)*C9</f>
        <v/>
      </c>
      <c r="D10" s="25">
        <f>Inputs!$D$24*(1+Inputs!$D$25)^(D4-1)*D9</f>
        <v/>
      </c>
      <c r="E10" s="25">
        <f>Inputs!$D$24*(1+Inputs!$D$25)^(E4-1)*E9</f>
        <v/>
      </c>
      <c r="F10" s="25">
        <f>Inputs!$D$24*(1+Inputs!$D$25)^(F4-1)*F9</f>
        <v/>
      </c>
      <c r="G10" s="25">
        <f>Inputs!$D$24*(1+Inputs!$D$25)^(G4-1)*G9</f>
        <v/>
      </c>
      <c r="H10" s="25">
        <f>Inputs!$D$24*(1+Inputs!$D$25)^(H4-1)*H9</f>
        <v/>
      </c>
      <c r="I10" s="25">
        <f>Inputs!$D$24*(1+Inputs!$D$25)^(I4-1)*I9</f>
        <v/>
      </c>
      <c r="J10" s="25">
        <f>Inputs!$D$24*(1+Inputs!$D$25)^(J4-1)*J9</f>
        <v/>
      </c>
      <c r="K10" s="25">
        <f>Inputs!$D$24*(1+Inputs!$D$25)^(K4-1)*K9</f>
        <v/>
      </c>
      <c r="L10" s="25">
        <f>Inputs!$D$24*(1+Inputs!$D$25)^(L4-1)*L9</f>
        <v/>
      </c>
      <c r="M10" s="25">
        <f>Inputs!$D$24*(1+Inputs!$D$25)^(M4-1)*M9</f>
        <v/>
      </c>
      <c r="N10" s="25">
        <f>Inputs!$D$24*(1+Inputs!$D$25)^(N4-1)*N9</f>
        <v/>
      </c>
      <c r="O10" s="25">
        <f>Inputs!$D$24*(1+Inputs!$D$25)^(O4-1)*O9</f>
        <v/>
      </c>
      <c r="P10" s="25">
        <f>Inputs!$D$24*(1+Inputs!$D$25)^(P4-1)*P9</f>
        <v/>
      </c>
      <c r="Q10" s="25">
        <f>Inputs!$D$24*(1+Inputs!$D$25)^(Q4-1)*Q9</f>
        <v/>
      </c>
      <c r="R10" s="25">
        <f>Inputs!$D$24*(1+Inputs!$D$25)^(R4-1)*R9</f>
        <v/>
      </c>
      <c r="S10" s="25">
        <f>Inputs!$D$24*(1+Inputs!$D$25)^(S4-1)*S9</f>
        <v/>
      </c>
      <c r="T10" s="25">
        <f>Inputs!$D$24*(1+Inputs!$D$25)^(T4-1)*T9</f>
        <v/>
      </c>
      <c r="U10" s="25">
        <f>Inputs!$D$24*(1+Inputs!$D$25)^(U4-1)*U9</f>
        <v/>
      </c>
      <c r="V10" s="25">
        <f>Inputs!$D$24*(1+Inputs!$D$25)^(V4-1)*V9</f>
        <v/>
      </c>
      <c r="W10" s="25">
        <f>Inputs!$D$24*(1+Inputs!$D$25)^(W4-1)*W9</f>
        <v/>
      </c>
      <c r="X10" s="25">
        <f>Inputs!$D$24*(1+Inputs!$D$25)^(X4-1)*X9</f>
        <v/>
      </c>
      <c r="Y10" s="25">
        <f>Inputs!$D$24*(1+Inputs!$D$25)^(Y4-1)*Y9</f>
        <v/>
      </c>
      <c r="Z10" s="25">
        <f>Inputs!$D$24*(1+Inputs!$D$25)^(Z4-1)*Z9</f>
        <v/>
      </c>
      <c r="AA10" s="25">
        <f>Inputs!$D$24*(1+Inputs!$D$25)^(AA4-1)*AA9</f>
        <v/>
      </c>
      <c r="AB10" s="25">
        <f>Inputs!$D$24*(1+Inputs!$D$25)^(AB4-1)*AB9</f>
        <v/>
      </c>
      <c r="AC10" s="25">
        <f>Inputs!$D$24*(1+Inputs!$D$25)^(AC4-1)*AC9</f>
        <v/>
      </c>
      <c r="AD10" s="25">
        <f>Inputs!$D$24*(1+Inputs!$D$25)^(AD4-1)*AD9</f>
        <v/>
      </c>
      <c r="AE10" s="25">
        <f>Inputs!$D$24*(1+Inputs!$D$25)^(AE4-1)*AE9</f>
        <v/>
      </c>
      <c r="AF10" s="25">
        <f>Inputs!$D$24*(1+Inputs!$D$25)^(AF4-1)*AF9</f>
        <v/>
      </c>
      <c r="AG10" s="25">
        <f>Inputs!$D$24*(1+Inputs!$D$25)^(AG4-1)*AG9</f>
        <v/>
      </c>
      <c r="AH10" s="25">
        <f>Inputs!$D$24*(1+Inputs!$D$25)^(AH4-1)*AH9</f>
        <v/>
      </c>
      <c r="AI10" s="25">
        <f>Inputs!$D$24*(1+Inputs!$D$25)^(AI4-1)*AI9</f>
        <v/>
      </c>
      <c r="AJ10" s="25">
        <f>Inputs!$D$24*(1+Inputs!$D$25)^(AJ4-1)*AJ9</f>
        <v/>
      </c>
      <c r="AK10" s="25">
        <f>Inputs!$D$24*(1+Inputs!$D$25)^(AK4-1)*AK9</f>
        <v/>
      </c>
      <c r="AL10" s="25">
        <f>Inputs!$D$24*(1+Inputs!$D$25)^(AL4-1)*AL9</f>
        <v/>
      </c>
      <c r="AM10" s="25">
        <f>Inputs!$D$24*(1+Inputs!$D$25)^(AM4-1)*AM9</f>
        <v/>
      </c>
      <c r="AN10" s="25">
        <f>Inputs!$D$24*(1+Inputs!$D$25)^(AN4-1)*AN9</f>
        <v/>
      </c>
      <c r="AO10" s="25">
        <f>Inputs!$D$24*(1+Inputs!$D$25)^(AO4-1)*AO9</f>
        <v/>
      </c>
      <c r="AP10" s="25">
        <f>Inputs!$D$24*(1+Inputs!$D$25)^(AP4-1)*AP9</f>
        <v/>
      </c>
      <c r="AQ10" s="25">
        <f>Inputs!$D$24*(1+Inputs!$D$25)^(AQ4-1)*AQ9</f>
        <v/>
      </c>
      <c r="AR10" s="25">
        <f>Inputs!$D$24*(1+Inputs!$D$25)^(AR4-1)*AR9</f>
        <v/>
      </c>
      <c r="AS10" s="25">
        <f>Inputs!$D$24*(1+Inputs!$D$25)^(AS4-1)*AS9</f>
        <v/>
      </c>
      <c r="AT10" s="25">
        <f>Inputs!$D$24*(1+Inputs!$D$25)^(AT4-1)*AT9</f>
        <v/>
      </c>
      <c r="AU10" s="25">
        <f>Inputs!$D$24*(1+Inputs!$D$25)^(AU4-1)*AU9</f>
        <v/>
      </c>
      <c r="AV10" s="25">
        <f>Inputs!$D$24*(1+Inputs!$D$25)^(AV4-1)*AV9</f>
        <v/>
      </c>
      <c r="AW10" s="25">
        <f>Inputs!$D$24*(1+Inputs!$D$25)^(AW4-1)*AW9</f>
        <v/>
      </c>
      <c r="AX10" s="25">
        <f>Inputs!$D$24*(1+Inputs!$D$25)^(AX4-1)*AX9</f>
        <v/>
      </c>
      <c r="AY10" s="25">
        <f>Inputs!$D$24*(1+Inputs!$D$25)^(AY4-1)*AY9</f>
        <v/>
      </c>
      <c r="AZ10" s="25">
        <f>Inputs!$D$24*(1+Inputs!$D$25)^(AZ4-1)*AZ9</f>
        <v/>
      </c>
      <c r="BA10" s="25">
        <f>Inputs!$D$24*(1+Inputs!$D$25)^(BA4-1)*BA9</f>
        <v/>
      </c>
      <c r="BB10" s="25">
        <f>Inputs!$D$24*(1+Inputs!$D$25)^(BB4-1)*BB9</f>
        <v/>
      </c>
      <c r="BC10" s="25">
        <f>Inputs!$D$24*(1+Inputs!$D$25)^(BC4-1)*BC9</f>
        <v/>
      </c>
      <c r="BD10" s="25">
        <f>Inputs!$D$24*(1+Inputs!$D$25)^(BD4-1)*BD9</f>
        <v/>
      </c>
      <c r="BE10" s="25">
        <f>Inputs!$D$24*(1+Inputs!$D$25)^(BE4-1)*BE9</f>
        <v/>
      </c>
      <c r="BF10" s="25">
        <f>Inputs!$D$24*(1+Inputs!$D$25)^(BF4-1)*BF9</f>
        <v/>
      </c>
      <c r="BG10" s="25">
        <f>Inputs!$D$24*(1+Inputs!$D$25)^(BG4-1)*BG9</f>
        <v/>
      </c>
      <c r="BH10" s="25">
        <f>Inputs!$D$24*(1+Inputs!$D$25)^(BH4-1)*BH9</f>
        <v/>
      </c>
      <c r="BI10" s="25">
        <f>Inputs!$D$24*(1+Inputs!$D$25)^(BI4-1)*BI9</f>
        <v/>
      </c>
      <c r="BJ10" s="25">
        <f>Inputs!$D$24*(1+Inputs!$D$25)^(BJ4-1)*BJ9</f>
        <v/>
      </c>
    </row>
    <row r="11">
      <c r="A11" t="inlineStr">
        <is>
          <t>Transactions / day</t>
        </is>
      </c>
      <c r="C11" s="24">
        <f>C8*Inputs!$D$23*C10+Inputs!$D$27*C9</f>
        <v/>
      </c>
      <c r="D11" s="24">
        <f>D8*Inputs!$D$23*D10+Inputs!$D$27*D9</f>
        <v/>
      </c>
      <c r="E11" s="24">
        <f>E8*Inputs!$D$23*E10+Inputs!$D$27*E9</f>
        <v/>
      </c>
      <c r="F11" s="24">
        <f>F8*Inputs!$D$23*F10+Inputs!$D$27*F9</f>
        <v/>
      </c>
      <c r="G11" s="24">
        <f>G8*Inputs!$D$23*G10+Inputs!$D$27*G9</f>
        <v/>
      </c>
      <c r="H11" s="24">
        <f>H8*Inputs!$D$23*H10+Inputs!$D$27*H9</f>
        <v/>
      </c>
      <c r="I11" s="24">
        <f>I8*Inputs!$D$23*I10+Inputs!$D$27*I9</f>
        <v/>
      </c>
      <c r="J11" s="24">
        <f>J8*Inputs!$D$23*J10+Inputs!$D$27*J9</f>
        <v/>
      </c>
      <c r="K11" s="24">
        <f>K8*Inputs!$D$23*K10+Inputs!$D$27*K9</f>
        <v/>
      </c>
      <c r="L11" s="24">
        <f>L8*Inputs!$D$23*L10+Inputs!$D$27*L9</f>
        <v/>
      </c>
      <c r="M11" s="24">
        <f>M8*Inputs!$D$23*M10+Inputs!$D$27*M9</f>
        <v/>
      </c>
      <c r="N11" s="24">
        <f>N8*Inputs!$D$23*N10+Inputs!$D$27*N9</f>
        <v/>
      </c>
      <c r="O11" s="24">
        <f>O8*Inputs!$D$23*O10+Inputs!$D$27*O9</f>
        <v/>
      </c>
      <c r="P11" s="24">
        <f>P8*Inputs!$D$23*P10+Inputs!$D$27*P9</f>
        <v/>
      </c>
      <c r="Q11" s="24">
        <f>Q8*Inputs!$D$23*Q10+Inputs!$D$27*Q9</f>
        <v/>
      </c>
      <c r="R11" s="24">
        <f>R8*Inputs!$D$23*R10+Inputs!$D$27*R9</f>
        <v/>
      </c>
      <c r="S11" s="24">
        <f>S8*Inputs!$D$23*S10+Inputs!$D$27*S9</f>
        <v/>
      </c>
      <c r="T11" s="24">
        <f>T8*Inputs!$D$23*T10+Inputs!$D$27*T9</f>
        <v/>
      </c>
      <c r="U11" s="24">
        <f>U8*Inputs!$D$23*U10+Inputs!$D$27*U9</f>
        <v/>
      </c>
      <c r="V11" s="24">
        <f>V8*Inputs!$D$23*V10+Inputs!$D$27*V9</f>
        <v/>
      </c>
      <c r="W11" s="24">
        <f>W8*Inputs!$D$23*W10+Inputs!$D$27*W9</f>
        <v/>
      </c>
      <c r="X11" s="24">
        <f>X8*Inputs!$D$23*X10+Inputs!$D$27*X9</f>
        <v/>
      </c>
      <c r="Y11" s="24">
        <f>Y8*Inputs!$D$23*Y10+Inputs!$D$27*Y9</f>
        <v/>
      </c>
      <c r="Z11" s="24">
        <f>Z8*Inputs!$D$23*Z10+Inputs!$D$27*Z9</f>
        <v/>
      </c>
      <c r="AA11" s="24">
        <f>AA8*Inputs!$D$23*AA10+Inputs!$D$27*AA9</f>
        <v/>
      </c>
      <c r="AB11" s="24">
        <f>AB8*Inputs!$D$23*AB10+Inputs!$D$27*AB9</f>
        <v/>
      </c>
      <c r="AC11" s="24">
        <f>AC8*Inputs!$D$23*AC10+Inputs!$D$27*AC9</f>
        <v/>
      </c>
      <c r="AD11" s="24">
        <f>AD8*Inputs!$D$23*AD10+Inputs!$D$27*AD9</f>
        <v/>
      </c>
      <c r="AE11" s="24">
        <f>AE8*Inputs!$D$23*AE10+Inputs!$D$27*AE9</f>
        <v/>
      </c>
      <c r="AF11" s="24">
        <f>AF8*Inputs!$D$23*AF10+Inputs!$D$27*AF9</f>
        <v/>
      </c>
      <c r="AG11" s="24">
        <f>AG8*Inputs!$D$23*AG10+Inputs!$D$27*AG9</f>
        <v/>
      </c>
      <c r="AH11" s="24">
        <f>AH8*Inputs!$D$23*AH10+Inputs!$D$27*AH9</f>
        <v/>
      </c>
      <c r="AI11" s="24">
        <f>AI8*Inputs!$D$23*AI10+Inputs!$D$27*AI9</f>
        <v/>
      </c>
      <c r="AJ11" s="24">
        <f>AJ8*Inputs!$D$23*AJ10+Inputs!$D$27*AJ9</f>
        <v/>
      </c>
      <c r="AK11" s="24">
        <f>AK8*Inputs!$D$23*AK10+Inputs!$D$27*AK9</f>
        <v/>
      </c>
      <c r="AL11" s="24">
        <f>AL8*Inputs!$D$23*AL10+Inputs!$D$27*AL9</f>
        <v/>
      </c>
      <c r="AM11" s="24">
        <f>AM8*Inputs!$D$23*AM10+Inputs!$D$27*AM9</f>
        <v/>
      </c>
      <c r="AN11" s="24">
        <f>AN8*Inputs!$D$23*AN10+Inputs!$D$27*AN9</f>
        <v/>
      </c>
      <c r="AO11" s="24">
        <f>AO8*Inputs!$D$23*AO10+Inputs!$D$27*AO9</f>
        <v/>
      </c>
      <c r="AP11" s="24">
        <f>AP8*Inputs!$D$23*AP10+Inputs!$D$27*AP9</f>
        <v/>
      </c>
      <c r="AQ11" s="24">
        <f>AQ8*Inputs!$D$23*AQ10+Inputs!$D$27*AQ9</f>
        <v/>
      </c>
      <c r="AR11" s="24">
        <f>AR8*Inputs!$D$23*AR10+Inputs!$D$27*AR9</f>
        <v/>
      </c>
      <c r="AS11" s="24">
        <f>AS8*Inputs!$D$23*AS10+Inputs!$D$27*AS9</f>
        <v/>
      </c>
      <c r="AT11" s="24">
        <f>AT8*Inputs!$D$23*AT10+Inputs!$D$27*AT9</f>
        <v/>
      </c>
      <c r="AU11" s="24">
        <f>AU8*Inputs!$D$23*AU10+Inputs!$D$27*AU9</f>
        <v/>
      </c>
      <c r="AV11" s="24">
        <f>AV8*Inputs!$D$23*AV10+Inputs!$D$27*AV9</f>
        <v/>
      </c>
      <c r="AW11" s="24">
        <f>AW8*Inputs!$D$23*AW10+Inputs!$D$27*AW9</f>
        <v/>
      </c>
      <c r="AX11" s="24">
        <f>AX8*Inputs!$D$23*AX10+Inputs!$D$27*AX9</f>
        <v/>
      </c>
      <c r="AY11" s="24">
        <f>AY8*Inputs!$D$23*AY10+Inputs!$D$27*AY9</f>
        <v/>
      </c>
      <c r="AZ11" s="24">
        <f>AZ8*Inputs!$D$23*AZ10+Inputs!$D$27*AZ9</f>
        <v/>
      </c>
      <c r="BA11" s="24">
        <f>BA8*Inputs!$D$23*BA10+Inputs!$D$27*BA9</f>
        <v/>
      </c>
      <c r="BB11" s="24">
        <f>BB8*Inputs!$D$23*BB10+Inputs!$D$27*BB9</f>
        <v/>
      </c>
      <c r="BC11" s="24">
        <f>BC8*Inputs!$D$23*BC10+Inputs!$D$27*BC9</f>
        <v/>
      </c>
      <c r="BD11" s="24">
        <f>BD8*Inputs!$D$23*BD10+Inputs!$D$27*BD9</f>
        <v/>
      </c>
      <c r="BE11" s="24">
        <f>BE8*Inputs!$D$23*BE10+Inputs!$D$27*BE9</f>
        <v/>
      </c>
      <c r="BF11" s="24">
        <f>BF8*Inputs!$D$23*BF10+Inputs!$D$27*BF9</f>
        <v/>
      </c>
      <c r="BG11" s="24">
        <f>BG8*Inputs!$D$23*BG10+Inputs!$D$27*BG9</f>
        <v/>
      </c>
      <c r="BH11" s="24">
        <f>BH8*Inputs!$D$23*BH10+Inputs!$D$27*BH9</f>
        <v/>
      </c>
      <c r="BI11" s="24">
        <f>BI8*Inputs!$D$23*BI10+Inputs!$D$27*BI9</f>
        <v/>
      </c>
      <c r="BJ11" s="24">
        <f>BJ8*Inputs!$D$23*BJ10+Inputs!$D$27*BJ9</f>
        <v/>
      </c>
    </row>
    <row r="12">
      <c r="A12" t="inlineStr">
        <is>
          <t>Average ticket (AMD, incl. VAT)</t>
        </is>
      </c>
      <c r="C12" s="3">
        <f>Inputs!$D$26*(1+Inputs!$D$28)^(C4-1)</f>
        <v/>
      </c>
      <c r="D12" s="3">
        <f>Inputs!$D$26*(1+Inputs!$D$28)^(D4-1)</f>
        <v/>
      </c>
      <c r="E12" s="3">
        <f>Inputs!$D$26*(1+Inputs!$D$28)^(E4-1)</f>
        <v/>
      </c>
      <c r="F12" s="3">
        <f>Inputs!$D$26*(1+Inputs!$D$28)^(F4-1)</f>
        <v/>
      </c>
      <c r="G12" s="3">
        <f>Inputs!$D$26*(1+Inputs!$D$28)^(G4-1)</f>
        <v/>
      </c>
      <c r="H12" s="3">
        <f>Inputs!$D$26*(1+Inputs!$D$28)^(H4-1)</f>
        <v/>
      </c>
      <c r="I12" s="3">
        <f>Inputs!$D$26*(1+Inputs!$D$28)^(I4-1)</f>
        <v/>
      </c>
      <c r="J12" s="3">
        <f>Inputs!$D$26*(1+Inputs!$D$28)^(J4-1)</f>
        <v/>
      </c>
      <c r="K12" s="3">
        <f>Inputs!$D$26*(1+Inputs!$D$28)^(K4-1)</f>
        <v/>
      </c>
      <c r="L12" s="3">
        <f>Inputs!$D$26*(1+Inputs!$D$28)^(L4-1)</f>
        <v/>
      </c>
      <c r="M12" s="3">
        <f>Inputs!$D$26*(1+Inputs!$D$28)^(M4-1)</f>
        <v/>
      </c>
      <c r="N12" s="3">
        <f>Inputs!$D$26*(1+Inputs!$D$28)^(N4-1)</f>
        <v/>
      </c>
      <c r="O12" s="3">
        <f>Inputs!$D$26*(1+Inputs!$D$28)^(O4-1)</f>
        <v/>
      </c>
      <c r="P12" s="3">
        <f>Inputs!$D$26*(1+Inputs!$D$28)^(P4-1)</f>
        <v/>
      </c>
      <c r="Q12" s="3">
        <f>Inputs!$D$26*(1+Inputs!$D$28)^(Q4-1)</f>
        <v/>
      </c>
      <c r="R12" s="3">
        <f>Inputs!$D$26*(1+Inputs!$D$28)^(R4-1)</f>
        <v/>
      </c>
      <c r="S12" s="3">
        <f>Inputs!$D$26*(1+Inputs!$D$28)^(S4-1)</f>
        <v/>
      </c>
      <c r="T12" s="3">
        <f>Inputs!$D$26*(1+Inputs!$D$28)^(T4-1)</f>
        <v/>
      </c>
      <c r="U12" s="3">
        <f>Inputs!$D$26*(1+Inputs!$D$28)^(U4-1)</f>
        <v/>
      </c>
      <c r="V12" s="3">
        <f>Inputs!$D$26*(1+Inputs!$D$28)^(V4-1)</f>
        <v/>
      </c>
      <c r="W12" s="3">
        <f>Inputs!$D$26*(1+Inputs!$D$28)^(W4-1)</f>
        <v/>
      </c>
      <c r="X12" s="3">
        <f>Inputs!$D$26*(1+Inputs!$D$28)^(X4-1)</f>
        <v/>
      </c>
      <c r="Y12" s="3">
        <f>Inputs!$D$26*(1+Inputs!$D$28)^(Y4-1)</f>
        <v/>
      </c>
      <c r="Z12" s="3">
        <f>Inputs!$D$26*(1+Inputs!$D$28)^(Z4-1)</f>
        <v/>
      </c>
      <c r="AA12" s="3">
        <f>Inputs!$D$26*(1+Inputs!$D$28)^(AA4-1)</f>
        <v/>
      </c>
      <c r="AB12" s="3">
        <f>Inputs!$D$26*(1+Inputs!$D$28)^(AB4-1)</f>
        <v/>
      </c>
      <c r="AC12" s="3">
        <f>Inputs!$D$26*(1+Inputs!$D$28)^(AC4-1)</f>
        <v/>
      </c>
      <c r="AD12" s="3">
        <f>Inputs!$D$26*(1+Inputs!$D$28)^(AD4-1)</f>
        <v/>
      </c>
      <c r="AE12" s="3">
        <f>Inputs!$D$26*(1+Inputs!$D$28)^(AE4-1)</f>
        <v/>
      </c>
      <c r="AF12" s="3">
        <f>Inputs!$D$26*(1+Inputs!$D$28)^(AF4-1)</f>
        <v/>
      </c>
      <c r="AG12" s="3">
        <f>Inputs!$D$26*(1+Inputs!$D$28)^(AG4-1)</f>
        <v/>
      </c>
      <c r="AH12" s="3">
        <f>Inputs!$D$26*(1+Inputs!$D$28)^(AH4-1)</f>
        <v/>
      </c>
      <c r="AI12" s="3">
        <f>Inputs!$D$26*(1+Inputs!$D$28)^(AI4-1)</f>
        <v/>
      </c>
      <c r="AJ12" s="3">
        <f>Inputs!$D$26*(1+Inputs!$D$28)^(AJ4-1)</f>
        <v/>
      </c>
      <c r="AK12" s="3">
        <f>Inputs!$D$26*(1+Inputs!$D$28)^(AK4-1)</f>
        <v/>
      </c>
      <c r="AL12" s="3">
        <f>Inputs!$D$26*(1+Inputs!$D$28)^(AL4-1)</f>
        <v/>
      </c>
      <c r="AM12" s="3">
        <f>Inputs!$D$26*(1+Inputs!$D$28)^(AM4-1)</f>
        <v/>
      </c>
      <c r="AN12" s="3">
        <f>Inputs!$D$26*(1+Inputs!$D$28)^(AN4-1)</f>
        <v/>
      </c>
      <c r="AO12" s="3">
        <f>Inputs!$D$26*(1+Inputs!$D$28)^(AO4-1)</f>
        <v/>
      </c>
      <c r="AP12" s="3">
        <f>Inputs!$D$26*(1+Inputs!$D$28)^(AP4-1)</f>
        <v/>
      </c>
      <c r="AQ12" s="3">
        <f>Inputs!$D$26*(1+Inputs!$D$28)^(AQ4-1)</f>
        <v/>
      </c>
      <c r="AR12" s="3">
        <f>Inputs!$D$26*(1+Inputs!$D$28)^(AR4-1)</f>
        <v/>
      </c>
      <c r="AS12" s="3">
        <f>Inputs!$D$26*(1+Inputs!$D$28)^(AS4-1)</f>
        <v/>
      </c>
      <c r="AT12" s="3">
        <f>Inputs!$D$26*(1+Inputs!$D$28)^(AT4-1)</f>
        <v/>
      </c>
      <c r="AU12" s="3">
        <f>Inputs!$D$26*(1+Inputs!$D$28)^(AU4-1)</f>
        <v/>
      </c>
      <c r="AV12" s="3">
        <f>Inputs!$D$26*(1+Inputs!$D$28)^(AV4-1)</f>
        <v/>
      </c>
      <c r="AW12" s="3">
        <f>Inputs!$D$26*(1+Inputs!$D$28)^(AW4-1)</f>
        <v/>
      </c>
      <c r="AX12" s="3">
        <f>Inputs!$D$26*(1+Inputs!$D$28)^(AX4-1)</f>
        <v/>
      </c>
      <c r="AY12" s="3">
        <f>Inputs!$D$26*(1+Inputs!$D$28)^(AY4-1)</f>
        <v/>
      </c>
      <c r="AZ12" s="3">
        <f>Inputs!$D$26*(1+Inputs!$D$28)^(AZ4-1)</f>
        <v/>
      </c>
      <c r="BA12" s="3">
        <f>Inputs!$D$26*(1+Inputs!$D$28)^(BA4-1)</f>
        <v/>
      </c>
      <c r="BB12" s="3">
        <f>Inputs!$D$26*(1+Inputs!$D$28)^(BB4-1)</f>
        <v/>
      </c>
      <c r="BC12" s="3">
        <f>Inputs!$D$26*(1+Inputs!$D$28)^(BC4-1)</f>
        <v/>
      </c>
      <c r="BD12" s="3">
        <f>Inputs!$D$26*(1+Inputs!$D$28)^(BD4-1)</f>
        <v/>
      </c>
      <c r="BE12" s="3">
        <f>Inputs!$D$26*(1+Inputs!$D$28)^(BE4-1)</f>
        <v/>
      </c>
      <c r="BF12" s="3">
        <f>Inputs!$D$26*(1+Inputs!$D$28)^(BF4-1)</f>
        <v/>
      </c>
      <c r="BG12" s="3">
        <f>Inputs!$D$26*(1+Inputs!$D$28)^(BG4-1)</f>
        <v/>
      </c>
      <c r="BH12" s="3">
        <f>Inputs!$D$26*(1+Inputs!$D$28)^(BH4-1)</f>
        <v/>
      </c>
      <c r="BI12" s="3">
        <f>Inputs!$D$26*(1+Inputs!$D$28)^(BI4-1)</f>
        <v/>
      </c>
      <c r="BJ12" s="3">
        <f>Inputs!$D$26*(1+Inputs!$D$28)^(BJ4-1)</f>
        <v/>
      </c>
    </row>
    <row r="13">
      <c r="A13" t="inlineStr">
        <is>
          <t>Gross sales (incl. VAT)</t>
        </is>
      </c>
      <c r="C13" s="3">
        <f>C11*C6*C12</f>
        <v/>
      </c>
      <c r="D13" s="3">
        <f>D11*D6*D12</f>
        <v/>
      </c>
      <c r="E13" s="3">
        <f>E11*E6*E12</f>
        <v/>
      </c>
      <c r="F13" s="3">
        <f>F11*F6*F12</f>
        <v/>
      </c>
      <c r="G13" s="3">
        <f>G11*G6*G12</f>
        <v/>
      </c>
      <c r="H13" s="3">
        <f>H11*H6*H12</f>
        <v/>
      </c>
      <c r="I13" s="3">
        <f>I11*I6*I12</f>
        <v/>
      </c>
      <c r="J13" s="3">
        <f>J11*J6*J12</f>
        <v/>
      </c>
      <c r="K13" s="3">
        <f>K11*K6*K12</f>
        <v/>
      </c>
      <c r="L13" s="3">
        <f>L11*L6*L12</f>
        <v/>
      </c>
      <c r="M13" s="3">
        <f>M11*M6*M12</f>
        <v/>
      </c>
      <c r="N13" s="3">
        <f>N11*N6*N12</f>
        <v/>
      </c>
      <c r="O13" s="3">
        <f>O11*O6*O12</f>
        <v/>
      </c>
      <c r="P13" s="3">
        <f>P11*P6*P12</f>
        <v/>
      </c>
      <c r="Q13" s="3">
        <f>Q11*Q6*Q12</f>
        <v/>
      </c>
      <c r="R13" s="3">
        <f>R11*R6*R12</f>
        <v/>
      </c>
      <c r="S13" s="3">
        <f>S11*S6*S12</f>
        <v/>
      </c>
      <c r="T13" s="3">
        <f>T11*T6*T12</f>
        <v/>
      </c>
      <c r="U13" s="3">
        <f>U11*U6*U12</f>
        <v/>
      </c>
      <c r="V13" s="3">
        <f>V11*V6*V12</f>
        <v/>
      </c>
      <c r="W13" s="3">
        <f>W11*W6*W12</f>
        <v/>
      </c>
      <c r="X13" s="3">
        <f>X11*X6*X12</f>
        <v/>
      </c>
      <c r="Y13" s="3">
        <f>Y11*Y6*Y12</f>
        <v/>
      </c>
      <c r="Z13" s="3">
        <f>Z11*Z6*Z12</f>
        <v/>
      </c>
      <c r="AA13" s="3">
        <f>AA11*AA6*AA12</f>
        <v/>
      </c>
      <c r="AB13" s="3">
        <f>AB11*AB6*AB12</f>
        <v/>
      </c>
      <c r="AC13" s="3">
        <f>AC11*AC6*AC12</f>
        <v/>
      </c>
      <c r="AD13" s="3">
        <f>AD11*AD6*AD12</f>
        <v/>
      </c>
      <c r="AE13" s="3">
        <f>AE11*AE6*AE12</f>
        <v/>
      </c>
      <c r="AF13" s="3">
        <f>AF11*AF6*AF12</f>
        <v/>
      </c>
      <c r="AG13" s="3">
        <f>AG11*AG6*AG12</f>
        <v/>
      </c>
      <c r="AH13" s="3">
        <f>AH11*AH6*AH12</f>
        <v/>
      </c>
      <c r="AI13" s="3">
        <f>AI11*AI6*AI12</f>
        <v/>
      </c>
      <c r="AJ13" s="3">
        <f>AJ11*AJ6*AJ12</f>
        <v/>
      </c>
      <c r="AK13" s="3">
        <f>AK11*AK6*AK12</f>
        <v/>
      </c>
      <c r="AL13" s="3">
        <f>AL11*AL6*AL12</f>
        <v/>
      </c>
      <c r="AM13" s="3">
        <f>AM11*AM6*AM12</f>
        <v/>
      </c>
      <c r="AN13" s="3">
        <f>AN11*AN6*AN12</f>
        <v/>
      </c>
      <c r="AO13" s="3">
        <f>AO11*AO6*AO12</f>
        <v/>
      </c>
      <c r="AP13" s="3">
        <f>AP11*AP6*AP12</f>
        <v/>
      </c>
      <c r="AQ13" s="3">
        <f>AQ11*AQ6*AQ12</f>
        <v/>
      </c>
      <c r="AR13" s="3">
        <f>AR11*AR6*AR12</f>
        <v/>
      </c>
      <c r="AS13" s="3">
        <f>AS11*AS6*AS12</f>
        <v/>
      </c>
      <c r="AT13" s="3">
        <f>AT11*AT6*AT12</f>
        <v/>
      </c>
      <c r="AU13" s="3">
        <f>AU11*AU6*AU12</f>
        <v/>
      </c>
      <c r="AV13" s="3">
        <f>AV11*AV6*AV12</f>
        <v/>
      </c>
      <c r="AW13" s="3">
        <f>AW11*AW6*AW12</f>
        <v/>
      </c>
      <c r="AX13" s="3">
        <f>AX11*AX6*AX12</f>
        <v/>
      </c>
      <c r="AY13" s="3">
        <f>AY11*AY6*AY12</f>
        <v/>
      </c>
      <c r="AZ13" s="3">
        <f>AZ11*AZ6*AZ12</f>
        <v/>
      </c>
      <c r="BA13" s="3">
        <f>BA11*BA6*BA12</f>
        <v/>
      </c>
      <c r="BB13" s="3">
        <f>BB11*BB6*BB12</f>
        <v/>
      </c>
      <c r="BC13" s="3">
        <f>BC11*BC6*BC12</f>
        <v/>
      </c>
      <c r="BD13" s="3">
        <f>BD11*BD6*BD12</f>
        <v/>
      </c>
      <c r="BE13" s="3">
        <f>BE11*BE6*BE12</f>
        <v/>
      </c>
      <c r="BF13" s="3">
        <f>BF11*BF6*BF12</f>
        <v/>
      </c>
      <c r="BG13" s="3">
        <f>BG11*BG6*BG12</f>
        <v/>
      </c>
      <c r="BH13" s="3">
        <f>BH11*BH6*BH12</f>
        <v/>
      </c>
      <c r="BI13" s="3">
        <f>BI11*BI6*BI12</f>
        <v/>
      </c>
      <c r="BJ13" s="3">
        <f>BJ11*BJ6*BJ12</f>
        <v/>
      </c>
    </row>
    <row r="14">
      <c r="A14" s="18" t="inlineStr">
        <is>
          <t>Net sales (excl. VAT)</t>
        </is>
      </c>
      <c r="C14" s="3">
        <f>C13/(1+Inputs!$D$10*(1-Inputs!$D$13))</f>
        <v/>
      </c>
      <c r="D14" s="3">
        <f>D13/(1+Inputs!$D$10*(1-Inputs!$D$13))</f>
        <v/>
      </c>
      <c r="E14" s="3">
        <f>E13/(1+Inputs!$D$10*(1-Inputs!$D$13))</f>
        <v/>
      </c>
      <c r="F14" s="3">
        <f>F13/(1+Inputs!$D$10*(1-Inputs!$D$13))</f>
        <v/>
      </c>
      <c r="G14" s="3">
        <f>G13/(1+Inputs!$D$10*(1-Inputs!$D$13))</f>
        <v/>
      </c>
      <c r="H14" s="3">
        <f>H13/(1+Inputs!$D$10*(1-Inputs!$D$13))</f>
        <v/>
      </c>
      <c r="I14" s="3">
        <f>I13/(1+Inputs!$D$10*(1-Inputs!$D$13))</f>
        <v/>
      </c>
      <c r="J14" s="3">
        <f>J13/(1+Inputs!$D$10*(1-Inputs!$D$13))</f>
        <v/>
      </c>
      <c r="K14" s="3">
        <f>K13/(1+Inputs!$D$10*(1-Inputs!$D$13))</f>
        <v/>
      </c>
      <c r="L14" s="3">
        <f>L13/(1+Inputs!$D$10*(1-Inputs!$D$13))</f>
        <v/>
      </c>
      <c r="M14" s="3">
        <f>M13/(1+Inputs!$D$10*(1-Inputs!$D$13))</f>
        <v/>
      </c>
      <c r="N14" s="3">
        <f>N13/(1+Inputs!$D$10*(1-Inputs!$D$13))</f>
        <v/>
      </c>
      <c r="O14" s="3">
        <f>O13/(1+Inputs!$D$10*(1-Inputs!$D$13))</f>
        <v/>
      </c>
      <c r="P14" s="3">
        <f>P13/(1+Inputs!$D$10*(1-Inputs!$D$13))</f>
        <v/>
      </c>
      <c r="Q14" s="3">
        <f>Q13/(1+Inputs!$D$10*(1-Inputs!$D$13))</f>
        <v/>
      </c>
      <c r="R14" s="3">
        <f>R13/(1+Inputs!$D$10*(1-Inputs!$D$13))</f>
        <v/>
      </c>
      <c r="S14" s="3">
        <f>S13/(1+Inputs!$D$10*(1-Inputs!$D$13))</f>
        <v/>
      </c>
      <c r="T14" s="3">
        <f>T13/(1+Inputs!$D$10*(1-Inputs!$D$13))</f>
        <v/>
      </c>
      <c r="U14" s="3">
        <f>U13/(1+Inputs!$D$10*(1-Inputs!$D$13))</f>
        <v/>
      </c>
      <c r="V14" s="3">
        <f>V13/(1+Inputs!$D$10*(1-Inputs!$D$13))</f>
        <v/>
      </c>
      <c r="W14" s="3">
        <f>W13/(1+Inputs!$D$10*(1-Inputs!$D$13))</f>
        <v/>
      </c>
      <c r="X14" s="3">
        <f>X13/(1+Inputs!$D$10*(1-Inputs!$D$13))</f>
        <v/>
      </c>
      <c r="Y14" s="3">
        <f>Y13/(1+Inputs!$D$10*(1-Inputs!$D$13))</f>
        <v/>
      </c>
      <c r="Z14" s="3">
        <f>Z13/(1+Inputs!$D$10*(1-Inputs!$D$13))</f>
        <v/>
      </c>
      <c r="AA14" s="3">
        <f>AA13/(1+Inputs!$D$10*(1-Inputs!$D$13))</f>
        <v/>
      </c>
      <c r="AB14" s="3">
        <f>AB13/(1+Inputs!$D$10*(1-Inputs!$D$13))</f>
        <v/>
      </c>
      <c r="AC14" s="3">
        <f>AC13/(1+Inputs!$D$10*(1-Inputs!$D$13))</f>
        <v/>
      </c>
      <c r="AD14" s="3">
        <f>AD13/(1+Inputs!$D$10*(1-Inputs!$D$13))</f>
        <v/>
      </c>
      <c r="AE14" s="3">
        <f>AE13/(1+Inputs!$D$10*(1-Inputs!$D$13))</f>
        <v/>
      </c>
      <c r="AF14" s="3">
        <f>AF13/(1+Inputs!$D$10*(1-Inputs!$D$13))</f>
        <v/>
      </c>
      <c r="AG14" s="3">
        <f>AG13/(1+Inputs!$D$10*(1-Inputs!$D$13))</f>
        <v/>
      </c>
      <c r="AH14" s="3">
        <f>AH13/(1+Inputs!$D$10*(1-Inputs!$D$13))</f>
        <v/>
      </c>
      <c r="AI14" s="3">
        <f>AI13/(1+Inputs!$D$10*(1-Inputs!$D$13))</f>
        <v/>
      </c>
      <c r="AJ14" s="3">
        <f>AJ13/(1+Inputs!$D$10*(1-Inputs!$D$13))</f>
        <v/>
      </c>
      <c r="AK14" s="3">
        <f>AK13/(1+Inputs!$D$10*(1-Inputs!$D$13))</f>
        <v/>
      </c>
      <c r="AL14" s="3">
        <f>AL13/(1+Inputs!$D$10*(1-Inputs!$D$13))</f>
        <v/>
      </c>
      <c r="AM14" s="3">
        <f>AM13/(1+Inputs!$D$10*(1-Inputs!$D$13))</f>
        <v/>
      </c>
      <c r="AN14" s="3">
        <f>AN13/(1+Inputs!$D$10*(1-Inputs!$D$13))</f>
        <v/>
      </c>
      <c r="AO14" s="3">
        <f>AO13/(1+Inputs!$D$10*(1-Inputs!$D$13))</f>
        <v/>
      </c>
      <c r="AP14" s="3">
        <f>AP13/(1+Inputs!$D$10*(1-Inputs!$D$13))</f>
        <v/>
      </c>
      <c r="AQ14" s="3">
        <f>AQ13/(1+Inputs!$D$10*(1-Inputs!$D$13))</f>
        <v/>
      </c>
      <c r="AR14" s="3">
        <f>AR13/(1+Inputs!$D$10*(1-Inputs!$D$13))</f>
        <v/>
      </c>
      <c r="AS14" s="3">
        <f>AS13/(1+Inputs!$D$10*(1-Inputs!$D$13))</f>
        <v/>
      </c>
      <c r="AT14" s="3">
        <f>AT13/(1+Inputs!$D$10*(1-Inputs!$D$13))</f>
        <v/>
      </c>
      <c r="AU14" s="3">
        <f>AU13/(1+Inputs!$D$10*(1-Inputs!$D$13))</f>
        <v/>
      </c>
      <c r="AV14" s="3">
        <f>AV13/(1+Inputs!$D$10*(1-Inputs!$D$13))</f>
        <v/>
      </c>
      <c r="AW14" s="3">
        <f>AW13/(1+Inputs!$D$10*(1-Inputs!$D$13))</f>
        <v/>
      </c>
      <c r="AX14" s="3">
        <f>AX13/(1+Inputs!$D$10*(1-Inputs!$D$13))</f>
        <v/>
      </c>
      <c r="AY14" s="3">
        <f>AY13/(1+Inputs!$D$10*(1-Inputs!$D$13))</f>
        <v/>
      </c>
      <c r="AZ14" s="3">
        <f>AZ13/(1+Inputs!$D$10*(1-Inputs!$D$13))</f>
        <v/>
      </c>
      <c r="BA14" s="3">
        <f>BA13/(1+Inputs!$D$10*(1-Inputs!$D$13))</f>
        <v/>
      </c>
      <c r="BB14" s="3">
        <f>BB13/(1+Inputs!$D$10*(1-Inputs!$D$13))</f>
        <v/>
      </c>
      <c r="BC14" s="3">
        <f>BC13/(1+Inputs!$D$10*(1-Inputs!$D$13))</f>
        <v/>
      </c>
      <c r="BD14" s="3">
        <f>BD13/(1+Inputs!$D$10*(1-Inputs!$D$13))</f>
        <v/>
      </c>
      <c r="BE14" s="3">
        <f>BE13/(1+Inputs!$D$10*(1-Inputs!$D$13))</f>
        <v/>
      </c>
      <c r="BF14" s="3">
        <f>BF13/(1+Inputs!$D$10*(1-Inputs!$D$13))</f>
        <v/>
      </c>
      <c r="BG14" s="3">
        <f>BG13/(1+Inputs!$D$10*(1-Inputs!$D$13))</f>
        <v/>
      </c>
      <c r="BH14" s="3">
        <f>BH13/(1+Inputs!$D$10*(1-Inputs!$D$13))</f>
        <v/>
      </c>
      <c r="BI14" s="3">
        <f>BI13/(1+Inputs!$D$10*(1-Inputs!$D$13))</f>
        <v/>
      </c>
      <c r="BJ14" s="3">
        <f>BJ13/(1+Inputs!$D$10*(1-Inputs!$D$13))</f>
        <v/>
      </c>
    </row>
    <row r="15">
      <c r="A15" t="inlineStr">
        <is>
          <t>COGS + waste</t>
        </is>
      </c>
      <c r="C15" s="3">
        <f>C14*(Inputs!$D$59+Inputs!$D$60)</f>
        <v/>
      </c>
      <c r="D15" s="3">
        <f>D14*(Inputs!$D$59+Inputs!$D$60)</f>
        <v/>
      </c>
      <c r="E15" s="3">
        <f>E14*(Inputs!$D$59+Inputs!$D$60)</f>
        <v/>
      </c>
      <c r="F15" s="3">
        <f>F14*(Inputs!$D$59+Inputs!$D$60)</f>
        <v/>
      </c>
      <c r="G15" s="3">
        <f>G14*(Inputs!$D$59+Inputs!$D$60)</f>
        <v/>
      </c>
      <c r="H15" s="3">
        <f>H14*(Inputs!$D$59+Inputs!$D$60)</f>
        <v/>
      </c>
      <c r="I15" s="3">
        <f>I14*(Inputs!$D$59+Inputs!$D$60)</f>
        <v/>
      </c>
      <c r="J15" s="3">
        <f>J14*(Inputs!$D$59+Inputs!$D$60)</f>
        <v/>
      </c>
      <c r="K15" s="3">
        <f>K14*(Inputs!$D$59+Inputs!$D$60)</f>
        <v/>
      </c>
      <c r="L15" s="3">
        <f>L14*(Inputs!$D$59+Inputs!$D$60)</f>
        <v/>
      </c>
      <c r="M15" s="3">
        <f>M14*(Inputs!$D$59+Inputs!$D$60)</f>
        <v/>
      </c>
      <c r="N15" s="3">
        <f>N14*(Inputs!$D$59+Inputs!$D$60)</f>
        <v/>
      </c>
      <c r="O15" s="3">
        <f>O14*(Inputs!$D$59+Inputs!$D$60)</f>
        <v/>
      </c>
      <c r="P15" s="3">
        <f>P14*(Inputs!$D$59+Inputs!$D$60)</f>
        <v/>
      </c>
      <c r="Q15" s="3">
        <f>Q14*(Inputs!$D$59+Inputs!$D$60)</f>
        <v/>
      </c>
      <c r="R15" s="3">
        <f>R14*(Inputs!$D$59+Inputs!$D$60)</f>
        <v/>
      </c>
      <c r="S15" s="3">
        <f>S14*(Inputs!$D$59+Inputs!$D$60)</f>
        <v/>
      </c>
      <c r="T15" s="3">
        <f>T14*(Inputs!$D$59+Inputs!$D$60)</f>
        <v/>
      </c>
      <c r="U15" s="3">
        <f>U14*(Inputs!$D$59+Inputs!$D$60)</f>
        <v/>
      </c>
      <c r="V15" s="3">
        <f>V14*(Inputs!$D$59+Inputs!$D$60)</f>
        <v/>
      </c>
      <c r="W15" s="3">
        <f>W14*(Inputs!$D$59+Inputs!$D$60)</f>
        <v/>
      </c>
      <c r="X15" s="3">
        <f>X14*(Inputs!$D$59+Inputs!$D$60)</f>
        <v/>
      </c>
      <c r="Y15" s="3">
        <f>Y14*(Inputs!$D$59+Inputs!$D$60)</f>
        <v/>
      </c>
      <c r="Z15" s="3">
        <f>Z14*(Inputs!$D$59+Inputs!$D$60)</f>
        <v/>
      </c>
      <c r="AA15" s="3">
        <f>AA14*(Inputs!$D$59+Inputs!$D$60)</f>
        <v/>
      </c>
      <c r="AB15" s="3">
        <f>AB14*(Inputs!$D$59+Inputs!$D$60)</f>
        <v/>
      </c>
      <c r="AC15" s="3">
        <f>AC14*(Inputs!$D$59+Inputs!$D$60)</f>
        <v/>
      </c>
      <c r="AD15" s="3">
        <f>AD14*(Inputs!$D$59+Inputs!$D$60)</f>
        <v/>
      </c>
      <c r="AE15" s="3">
        <f>AE14*(Inputs!$D$59+Inputs!$D$60)</f>
        <v/>
      </c>
      <c r="AF15" s="3">
        <f>AF14*(Inputs!$D$59+Inputs!$D$60)</f>
        <v/>
      </c>
      <c r="AG15" s="3">
        <f>AG14*(Inputs!$D$59+Inputs!$D$60)</f>
        <v/>
      </c>
      <c r="AH15" s="3">
        <f>AH14*(Inputs!$D$59+Inputs!$D$60)</f>
        <v/>
      </c>
      <c r="AI15" s="3">
        <f>AI14*(Inputs!$D$59+Inputs!$D$60)</f>
        <v/>
      </c>
      <c r="AJ15" s="3">
        <f>AJ14*(Inputs!$D$59+Inputs!$D$60)</f>
        <v/>
      </c>
      <c r="AK15" s="3">
        <f>AK14*(Inputs!$D$59+Inputs!$D$60)</f>
        <v/>
      </c>
      <c r="AL15" s="3">
        <f>AL14*(Inputs!$D$59+Inputs!$D$60)</f>
        <v/>
      </c>
      <c r="AM15" s="3">
        <f>AM14*(Inputs!$D$59+Inputs!$D$60)</f>
        <v/>
      </c>
      <c r="AN15" s="3">
        <f>AN14*(Inputs!$D$59+Inputs!$D$60)</f>
        <v/>
      </c>
      <c r="AO15" s="3">
        <f>AO14*(Inputs!$D$59+Inputs!$D$60)</f>
        <v/>
      </c>
      <c r="AP15" s="3">
        <f>AP14*(Inputs!$D$59+Inputs!$D$60)</f>
        <v/>
      </c>
      <c r="AQ15" s="3">
        <f>AQ14*(Inputs!$D$59+Inputs!$D$60)</f>
        <v/>
      </c>
      <c r="AR15" s="3">
        <f>AR14*(Inputs!$D$59+Inputs!$D$60)</f>
        <v/>
      </c>
      <c r="AS15" s="3">
        <f>AS14*(Inputs!$D$59+Inputs!$D$60)</f>
        <v/>
      </c>
      <c r="AT15" s="3">
        <f>AT14*(Inputs!$D$59+Inputs!$D$60)</f>
        <v/>
      </c>
      <c r="AU15" s="3">
        <f>AU14*(Inputs!$D$59+Inputs!$D$60)</f>
        <v/>
      </c>
      <c r="AV15" s="3">
        <f>AV14*(Inputs!$D$59+Inputs!$D$60)</f>
        <v/>
      </c>
      <c r="AW15" s="3">
        <f>AW14*(Inputs!$D$59+Inputs!$D$60)</f>
        <v/>
      </c>
      <c r="AX15" s="3">
        <f>AX14*(Inputs!$D$59+Inputs!$D$60)</f>
        <v/>
      </c>
      <c r="AY15" s="3">
        <f>AY14*(Inputs!$D$59+Inputs!$D$60)</f>
        <v/>
      </c>
      <c r="AZ15" s="3">
        <f>AZ14*(Inputs!$D$59+Inputs!$D$60)</f>
        <v/>
      </c>
      <c r="BA15" s="3">
        <f>BA14*(Inputs!$D$59+Inputs!$D$60)</f>
        <v/>
      </c>
      <c r="BB15" s="3">
        <f>BB14*(Inputs!$D$59+Inputs!$D$60)</f>
        <v/>
      </c>
      <c r="BC15" s="3">
        <f>BC14*(Inputs!$D$59+Inputs!$D$60)</f>
        <v/>
      </c>
      <c r="BD15" s="3">
        <f>BD14*(Inputs!$D$59+Inputs!$D$60)</f>
        <v/>
      </c>
      <c r="BE15" s="3">
        <f>BE14*(Inputs!$D$59+Inputs!$D$60)</f>
        <v/>
      </c>
      <c r="BF15" s="3">
        <f>BF14*(Inputs!$D$59+Inputs!$D$60)</f>
        <v/>
      </c>
      <c r="BG15" s="3">
        <f>BG14*(Inputs!$D$59+Inputs!$D$60)</f>
        <v/>
      </c>
      <c r="BH15" s="3">
        <f>BH14*(Inputs!$D$59+Inputs!$D$60)</f>
        <v/>
      </c>
      <c r="BI15" s="3">
        <f>BI14*(Inputs!$D$59+Inputs!$D$60)</f>
        <v/>
      </c>
      <c r="BJ15" s="3">
        <f>BJ14*(Inputs!$D$59+Inputs!$D$60)</f>
        <v/>
      </c>
    </row>
    <row r="16">
      <c r="A16" t="inlineStr">
        <is>
          <t>Card fees</t>
        </is>
      </c>
      <c r="C16" s="3">
        <f>C13*Inputs!$D$61*Inputs!$D$62</f>
        <v/>
      </c>
      <c r="D16" s="3">
        <f>D13*Inputs!$D$61*Inputs!$D$62</f>
        <v/>
      </c>
      <c r="E16" s="3">
        <f>E13*Inputs!$D$61*Inputs!$D$62</f>
        <v/>
      </c>
      <c r="F16" s="3">
        <f>F13*Inputs!$D$61*Inputs!$D$62</f>
        <v/>
      </c>
      <c r="G16" s="3">
        <f>G13*Inputs!$D$61*Inputs!$D$62</f>
        <v/>
      </c>
      <c r="H16" s="3">
        <f>H13*Inputs!$D$61*Inputs!$D$62</f>
        <v/>
      </c>
      <c r="I16" s="3">
        <f>I13*Inputs!$D$61*Inputs!$D$62</f>
        <v/>
      </c>
      <c r="J16" s="3">
        <f>J13*Inputs!$D$61*Inputs!$D$62</f>
        <v/>
      </c>
      <c r="K16" s="3">
        <f>K13*Inputs!$D$61*Inputs!$D$62</f>
        <v/>
      </c>
      <c r="L16" s="3">
        <f>L13*Inputs!$D$61*Inputs!$D$62</f>
        <v/>
      </c>
      <c r="M16" s="3">
        <f>M13*Inputs!$D$61*Inputs!$D$62</f>
        <v/>
      </c>
      <c r="N16" s="3">
        <f>N13*Inputs!$D$61*Inputs!$D$62</f>
        <v/>
      </c>
      <c r="O16" s="3">
        <f>O13*Inputs!$D$61*Inputs!$D$62</f>
        <v/>
      </c>
      <c r="P16" s="3">
        <f>P13*Inputs!$D$61*Inputs!$D$62</f>
        <v/>
      </c>
      <c r="Q16" s="3">
        <f>Q13*Inputs!$D$61*Inputs!$D$62</f>
        <v/>
      </c>
      <c r="R16" s="3">
        <f>R13*Inputs!$D$61*Inputs!$D$62</f>
        <v/>
      </c>
      <c r="S16" s="3">
        <f>S13*Inputs!$D$61*Inputs!$D$62</f>
        <v/>
      </c>
      <c r="T16" s="3">
        <f>T13*Inputs!$D$61*Inputs!$D$62</f>
        <v/>
      </c>
      <c r="U16" s="3">
        <f>U13*Inputs!$D$61*Inputs!$D$62</f>
        <v/>
      </c>
      <c r="V16" s="3">
        <f>V13*Inputs!$D$61*Inputs!$D$62</f>
        <v/>
      </c>
      <c r="W16" s="3">
        <f>W13*Inputs!$D$61*Inputs!$D$62</f>
        <v/>
      </c>
      <c r="X16" s="3">
        <f>X13*Inputs!$D$61*Inputs!$D$62</f>
        <v/>
      </c>
      <c r="Y16" s="3">
        <f>Y13*Inputs!$D$61*Inputs!$D$62</f>
        <v/>
      </c>
      <c r="Z16" s="3">
        <f>Z13*Inputs!$D$61*Inputs!$D$62</f>
        <v/>
      </c>
      <c r="AA16" s="3">
        <f>AA13*Inputs!$D$61*Inputs!$D$62</f>
        <v/>
      </c>
      <c r="AB16" s="3">
        <f>AB13*Inputs!$D$61*Inputs!$D$62</f>
        <v/>
      </c>
      <c r="AC16" s="3">
        <f>AC13*Inputs!$D$61*Inputs!$D$62</f>
        <v/>
      </c>
      <c r="AD16" s="3">
        <f>AD13*Inputs!$D$61*Inputs!$D$62</f>
        <v/>
      </c>
      <c r="AE16" s="3">
        <f>AE13*Inputs!$D$61*Inputs!$D$62</f>
        <v/>
      </c>
      <c r="AF16" s="3">
        <f>AF13*Inputs!$D$61*Inputs!$D$62</f>
        <v/>
      </c>
      <c r="AG16" s="3">
        <f>AG13*Inputs!$D$61*Inputs!$D$62</f>
        <v/>
      </c>
      <c r="AH16" s="3">
        <f>AH13*Inputs!$D$61*Inputs!$D$62</f>
        <v/>
      </c>
      <c r="AI16" s="3">
        <f>AI13*Inputs!$D$61*Inputs!$D$62</f>
        <v/>
      </c>
      <c r="AJ16" s="3">
        <f>AJ13*Inputs!$D$61*Inputs!$D$62</f>
        <v/>
      </c>
      <c r="AK16" s="3">
        <f>AK13*Inputs!$D$61*Inputs!$D$62</f>
        <v/>
      </c>
      <c r="AL16" s="3">
        <f>AL13*Inputs!$D$61*Inputs!$D$62</f>
        <v/>
      </c>
      <c r="AM16" s="3">
        <f>AM13*Inputs!$D$61*Inputs!$D$62</f>
        <v/>
      </c>
      <c r="AN16" s="3">
        <f>AN13*Inputs!$D$61*Inputs!$D$62</f>
        <v/>
      </c>
      <c r="AO16" s="3">
        <f>AO13*Inputs!$D$61*Inputs!$D$62</f>
        <v/>
      </c>
      <c r="AP16" s="3">
        <f>AP13*Inputs!$D$61*Inputs!$D$62</f>
        <v/>
      </c>
      <c r="AQ16" s="3">
        <f>AQ13*Inputs!$D$61*Inputs!$D$62</f>
        <v/>
      </c>
      <c r="AR16" s="3">
        <f>AR13*Inputs!$D$61*Inputs!$D$62</f>
        <v/>
      </c>
      <c r="AS16" s="3">
        <f>AS13*Inputs!$D$61*Inputs!$D$62</f>
        <v/>
      </c>
      <c r="AT16" s="3">
        <f>AT13*Inputs!$D$61*Inputs!$D$62</f>
        <v/>
      </c>
      <c r="AU16" s="3">
        <f>AU13*Inputs!$D$61*Inputs!$D$62</f>
        <v/>
      </c>
      <c r="AV16" s="3">
        <f>AV13*Inputs!$D$61*Inputs!$D$62</f>
        <v/>
      </c>
      <c r="AW16" s="3">
        <f>AW13*Inputs!$D$61*Inputs!$D$62</f>
        <v/>
      </c>
      <c r="AX16" s="3">
        <f>AX13*Inputs!$D$61*Inputs!$D$62</f>
        <v/>
      </c>
      <c r="AY16" s="3">
        <f>AY13*Inputs!$D$61*Inputs!$D$62</f>
        <v/>
      </c>
      <c r="AZ16" s="3">
        <f>AZ13*Inputs!$D$61*Inputs!$D$62</f>
        <v/>
      </c>
      <c r="BA16" s="3">
        <f>BA13*Inputs!$D$61*Inputs!$D$62</f>
        <v/>
      </c>
      <c r="BB16" s="3">
        <f>BB13*Inputs!$D$61*Inputs!$D$62</f>
        <v/>
      </c>
      <c r="BC16" s="3">
        <f>BC13*Inputs!$D$61*Inputs!$D$62</f>
        <v/>
      </c>
      <c r="BD16" s="3">
        <f>BD13*Inputs!$D$61*Inputs!$D$62</f>
        <v/>
      </c>
      <c r="BE16" s="3">
        <f>BE13*Inputs!$D$61*Inputs!$D$62</f>
        <v/>
      </c>
      <c r="BF16" s="3">
        <f>BF13*Inputs!$D$61*Inputs!$D$62</f>
        <v/>
      </c>
      <c r="BG16" s="3">
        <f>BG13*Inputs!$D$61*Inputs!$D$62</f>
        <v/>
      </c>
      <c r="BH16" s="3">
        <f>BH13*Inputs!$D$61*Inputs!$D$62</f>
        <v/>
      </c>
      <c r="BI16" s="3">
        <f>BI13*Inputs!$D$61*Inputs!$D$62</f>
        <v/>
      </c>
      <c r="BJ16" s="3">
        <f>BJ13*Inputs!$D$61*Inputs!$D$62</f>
        <v/>
      </c>
    </row>
    <row r="17">
      <c r="A17" t="inlineStr">
        <is>
          <t>Marketing</t>
        </is>
      </c>
      <c r="C17" s="3">
        <f>C14*Inputs!$D$63+IF(C3&lt;=3,Inputs!$D$64/3,0)</f>
        <v/>
      </c>
      <c r="D17" s="3">
        <f>D14*Inputs!$D$63+IF(D3&lt;=3,Inputs!$D$64/3,0)</f>
        <v/>
      </c>
      <c r="E17" s="3">
        <f>E14*Inputs!$D$63+IF(E3&lt;=3,Inputs!$D$64/3,0)</f>
        <v/>
      </c>
      <c r="F17" s="3">
        <f>F14*Inputs!$D$63+IF(F3&lt;=3,Inputs!$D$64/3,0)</f>
        <v/>
      </c>
      <c r="G17" s="3">
        <f>G14*Inputs!$D$63+IF(G3&lt;=3,Inputs!$D$64/3,0)</f>
        <v/>
      </c>
      <c r="H17" s="3">
        <f>H14*Inputs!$D$63+IF(H3&lt;=3,Inputs!$D$64/3,0)</f>
        <v/>
      </c>
      <c r="I17" s="3">
        <f>I14*Inputs!$D$63+IF(I3&lt;=3,Inputs!$D$64/3,0)</f>
        <v/>
      </c>
      <c r="J17" s="3">
        <f>J14*Inputs!$D$63+IF(J3&lt;=3,Inputs!$D$64/3,0)</f>
        <v/>
      </c>
      <c r="K17" s="3">
        <f>K14*Inputs!$D$63+IF(K3&lt;=3,Inputs!$D$64/3,0)</f>
        <v/>
      </c>
      <c r="L17" s="3">
        <f>L14*Inputs!$D$63+IF(L3&lt;=3,Inputs!$D$64/3,0)</f>
        <v/>
      </c>
      <c r="M17" s="3">
        <f>M14*Inputs!$D$63+IF(M3&lt;=3,Inputs!$D$64/3,0)</f>
        <v/>
      </c>
      <c r="N17" s="3">
        <f>N14*Inputs!$D$63+IF(N3&lt;=3,Inputs!$D$64/3,0)</f>
        <v/>
      </c>
      <c r="O17" s="3">
        <f>O14*Inputs!$D$63+IF(O3&lt;=3,Inputs!$D$64/3,0)</f>
        <v/>
      </c>
      <c r="P17" s="3">
        <f>P14*Inputs!$D$63+IF(P3&lt;=3,Inputs!$D$64/3,0)</f>
        <v/>
      </c>
      <c r="Q17" s="3">
        <f>Q14*Inputs!$D$63+IF(Q3&lt;=3,Inputs!$D$64/3,0)</f>
        <v/>
      </c>
      <c r="R17" s="3">
        <f>R14*Inputs!$D$63+IF(R3&lt;=3,Inputs!$D$64/3,0)</f>
        <v/>
      </c>
      <c r="S17" s="3">
        <f>S14*Inputs!$D$63+IF(S3&lt;=3,Inputs!$D$64/3,0)</f>
        <v/>
      </c>
      <c r="T17" s="3">
        <f>T14*Inputs!$D$63+IF(T3&lt;=3,Inputs!$D$64/3,0)</f>
        <v/>
      </c>
      <c r="U17" s="3">
        <f>U14*Inputs!$D$63+IF(U3&lt;=3,Inputs!$D$64/3,0)</f>
        <v/>
      </c>
      <c r="V17" s="3">
        <f>V14*Inputs!$D$63+IF(V3&lt;=3,Inputs!$D$64/3,0)</f>
        <v/>
      </c>
      <c r="W17" s="3">
        <f>W14*Inputs!$D$63+IF(W3&lt;=3,Inputs!$D$64/3,0)</f>
        <v/>
      </c>
      <c r="X17" s="3">
        <f>X14*Inputs!$D$63+IF(X3&lt;=3,Inputs!$D$64/3,0)</f>
        <v/>
      </c>
      <c r="Y17" s="3">
        <f>Y14*Inputs!$D$63+IF(Y3&lt;=3,Inputs!$D$64/3,0)</f>
        <v/>
      </c>
      <c r="Z17" s="3">
        <f>Z14*Inputs!$D$63+IF(Z3&lt;=3,Inputs!$D$64/3,0)</f>
        <v/>
      </c>
      <c r="AA17" s="3">
        <f>AA14*Inputs!$D$63+IF(AA3&lt;=3,Inputs!$D$64/3,0)</f>
        <v/>
      </c>
      <c r="AB17" s="3">
        <f>AB14*Inputs!$D$63+IF(AB3&lt;=3,Inputs!$D$64/3,0)</f>
        <v/>
      </c>
      <c r="AC17" s="3">
        <f>AC14*Inputs!$D$63+IF(AC3&lt;=3,Inputs!$D$64/3,0)</f>
        <v/>
      </c>
      <c r="AD17" s="3">
        <f>AD14*Inputs!$D$63+IF(AD3&lt;=3,Inputs!$D$64/3,0)</f>
        <v/>
      </c>
      <c r="AE17" s="3">
        <f>AE14*Inputs!$D$63+IF(AE3&lt;=3,Inputs!$D$64/3,0)</f>
        <v/>
      </c>
      <c r="AF17" s="3">
        <f>AF14*Inputs!$D$63+IF(AF3&lt;=3,Inputs!$D$64/3,0)</f>
        <v/>
      </c>
      <c r="AG17" s="3">
        <f>AG14*Inputs!$D$63+IF(AG3&lt;=3,Inputs!$D$64/3,0)</f>
        <v/>
      </c>
      <c r="AH17" s="3">
        <f>AH14*Inputs!$D$63+IF(AH3&lt;=3,Inputs!$D$64/3,0)</f>
        <v/>
      </c>
      <c r="AI17" s="3">
        <f>AI14*Inputs!$D$63+IF(AI3&lt;=3,Inputs!$D$64/3,0)</f>
        <v/>
      </c>
      <c r="AJ17" s="3">
        <f>AJ14*Inputs!$D$63+IF(AJ3&lt;=3,Inputs!$D$64/3,0)</f>
        <v/>
      </c>
      <c r="AK17" s="3">
        <f>AK14*Inputs!$D$63+IF(AK3&lt;=3,Inputs!$D$64/3,0)</f>
        <v/>
      </c>
      <c r="AL17" s="3">
        <f>AL14*Inputs!$D$63+IF(AL3&lt;=3,Inputs!$D$64/3,0)</f>
        <v/>
      </c>
      <c r="AM17" s="3">
        <f>AM14*Inputs!$D$63+IF(AM3&lt;=3,Inputs!$D$64/3,0)</f>
        <v/>
      </c>
      <c r="AN17" s="3">
        <f>AN14*Inputs!$D$63+IF(AN3&lt;=3,Inputs!$D$64/3,0)</f>
        <v/>
      </c>
      <c r="AO17" s="3">
        <f>AO14*Inputs!$D$63+IF(AO3&lt;=3,Inputs!$D$64/3,0)</f>
        <v/>
      </c>
      <c r="AP17" s="3">
        <f>AP14*Inputs!$D$63+IF(AP3&lt;=3,Inputs!$D$64/3,0)</f>
        <v/>
      </c>
      <c r="AQ17" s="3">
        <f>AQ14*Inputs!$D$63+IF(AQ3&lt;=3,Inputs!$D$64/3,0)</f>
        <v/>
      </c>
      <c r="AR17" s="3">
        <f>AR14*Inputs!$D$63+IF(AR3&lt;=3,Inputs!$D$64/3,0)</f>
        <v/>
      </c>
      <c r="AS17" s="3">
        <f>AS14*Inputs!$D$63+IF(AS3&lt;=3,Inputs!$D$64/3,0)</f>
        <v/>
      </c>
      <c r="AT17" s="3">
        <f>AT14*Inputs!$D$63+IF(AT3&lt;=3,Inputs!$D$64/3,0)</f>
        <v/>
      </c>
      <c r="AU17" s="3">
        <f>AU14*Inputs!$D$63+IF(AU3&lt;=3,Inputs!$D$64/3,0)</f>
        <v/>
      </c>
      <c r="AV17" s="3">
        <f>AV14*Inputs!$D$63+IF(AV3&lt;=3,Inputs!$D$64/3,0)</f>
        <v/>
      </c>
      <c r="AW17" s="3">
        <f>AW14*Inputs!$D$63+IF(AW3&lt;=3,Inputs!$D$64/3,0)</f>
        <v/>
      </c>
      <c r="AX17" s="3">
        <f>AX14*Inputs!$D$63+IF(AX3&lt;=3,Inputs!$D$64/3,0)</f>
        <v/>
      </c>
      <c r="AY17" s="3">
        <f>AY14*Inputs!$D$63+IF(AY3&lt;=3,Inputs!$D$64/3,0)</f>
        <v/>
      </c>
      <c r="AZ17" s="3">
        <f>AZ14*Inputs!$D$63+IF(AZ3&lt;=3,Inputs!$D$64/3,0)</f>
        <v/>
      </c>
      <c r="BA17" s="3">
        <f>BA14*Inputs!$D$63+IF(BA3&lt;=3,Inputs!$D$64/3,0)</f>
        <v/>
      </c>
      <c r="BB17" s="3">
        <f>BB14*Inputs!$D$63+IF(BB3&lt;=3,Inputs!$D$64/3,0)</f>
        <v/>
      </c>
      <c r="BC17" s="3">
        <f>BC14*Inputs!$D$63+IF(BC3&lt;=3,Inputs!$D$64/3,0)</f>
        <v/>
      </c>
      <c r="BD17" s="3">
        <f>BD14*Inputs!$D$63+IF(BD3&lt;=3,Inputs!$D$64/3,0)</f>
        <v/>
      </c>
      <c r="BE17" s="3">
        <f>BE14*Inputs!$D$63+IF(BE3&lt;=3,Inputs!$D$64/3,0)</f>
        <v/>
      </c>
      <c r="BF17" s="3">
        <f>BF14*Inputs!$D$63+IF(BF3&lt;=3,Inputs!$D$64/3,0)</f>
        <v/>
      </c>
      <c r="BG17" s="3">
        <f>BG14*Inputs!$D$63+IF(BG3&lt;=3,Inputs!$D$64/3,0)</f>
        <v/>
      </c>
      <c r="BH17" s="3">
        <f>BH14*Inputs!$D$63+IF(BH3&lt;=3,Inputs!$D$64/3,0)</f>
        <v/>
      </c>
      <c r="BI17" s="3">
        <f>BI14*Inputs!$D$63+IF(BI3&lt;=3,Inputs!$D$64/3,0)</f>
        <v/>
      </c>
      <c r="BJ17" s="3">
        <f>BJ14*Inputs!$D$63+IF(BJ3&lt;=3,Inputs!$D$64/3,0)</f>
        <v/>
      </c>
    </row>
    <row r="18">
      <c r="A18" t="inlineStr">
        <is>
          <t>Repairs &amp; maintenance</t>
        </is>
      </c>
      <c r="C18" s="3">
        <f>C14*Inputs!$D$65</f>
        <v/>
      </c>
      <c r="D18" s="3">
        <f>D14*Inputs!$D$65</f>
        <v/>
      </c>
      <c r="E18" s="3">
        <f>E14*Inputs!$D$65</f>
        <v/>
      </c>
      <c r="F18" s="3">
        <f>F14*Inputs!$D$65</f>
        <v/>
      </c>
      <c r="G18" s="3">
        <f>G14*Inputs!$D$65</f>
        <v/>
      </c>
      <c r="H18" s="3">
        <f>H14*Inputs!$D$65</f>
        <v/>
      </c>
      <c r="I18" s="3">
        <f>I14*Inputs!$D$65</f>
        <v/>
      </c>
      <c r="J18" s="3">
        <f>J14*Inputs!$D$65</f>
        <v/>
      </c>
      <c r="K18" s="3">
        <f>K14*Inputs!$D$65</f>
        <v/>
      </c>
      <c r="L18" s="3">
        <f>L14*Inputs!$D$65</f>
        <v/>
      </c>
      <c r="M18" s="3">
        <f>M14*Inputs!$D$65</f>
        <v/>
      </c>
      <c r="N18" s="3">
        <f>N14*Inputs!$D$65</f>
        <v/>
      </c>
      <c r="O18" s="3">
        <f>O14*Inputs!$D$65</f>
        <v/>
      </c>
      <c r="P18" s="3">
        <f>P14*Inputs!$D$65</f>
        <v/>
      </c>
      <c r="Q18" s="3">
        <f>Q14*Inputs!$D$65</f>
        <v/>
      </c>
      <c r="R18" s="3">
        <f>R14*Inputs!$D$65</f>
        <v/>
      </c>
      <c r="S18" s="3">
        <f>S14*Inputs!$D$65</f>
        <v/>
      </c>
      <c r="T18" s="3">
        <f>T14*Inputs!$D$65</f>
        <v/>
      </c>
      <c r="U18" s="3">
        <f>U14*Inputs!$D$65</f>
        <v/>
      </c>
      <c r="V18" s="3">
        <f>V14*Inputs!$D$65</f>
        <v/>
      </c>
      <c r="W18" s="3">
        <f>W14*Inputs!$D$65</f>
        <v/>
      </c>
      <c r="X18" s="3">
        <f>X14*Inputs!$D$65</f>
        <v/>
      </c>
      <c r="Y18" s="3">
        <f>Y14*Inputs!$D$65</f>
        <v/>
      </c>
      <c r="Z18" s="3">
        <f>Z14*Inputs!$D$65</f>
        <v/>
      </c>
      <c r="AA18" s="3">
        <f>AA14*Inputs!$D$65</f>
        <v/>
      </c>
      <c r="AB18" s="3">
        <f>AB14*Inputs!$D$65</f>
        <v/>
      </c>
      <c r="AC18" s="3">
        <f>AC14*Inputs!$D$65</f>
        <v/>
      </c>
      <c r="AD18" s="3">
        <f>AD14*Inputs!$D$65</f>
        <v/>
      </c>
      <c r="AE18" s="3">
        <f>AE14*Inputs!$D$65</f>
        <v/>
      </c>
      <c r="AF18" s="3">
        <f>AF14*Inputs!$D$65</f>
        <v/>
      </c>
      <c r="AG18" s="3">
        <f>AG14*Inputs!$D$65</f>
        <v/>
      </c>
      <c r="AH18" s="3">
        <f>AH14*Inputs!$D$65</f>
        <v/>
      </c>
      <c r="AI18" s="3">
        <f>AI14*Inputs!$D$65</f>
        <v/>
      </c>
      <c r="AJ18" s="3">
        <f>AJ14*Inputs!$D$65</f>
        <v/>
      </c>
      <c r="AK18" s="3">
        <f>AK14*Inputs!$D$65</f>
        <v/>
      </c>
      <c r="AL18" s="3">
        <f>AL14*Inputs!$D$65</f>
        <v/>
      </c>
      <c r="AM18" s="3">
        <f>AM14*Inputs!$D$65</f>
        <v/>
      </c>
      <c r="AN18" s="3">
        <f>AN14*Inputs!$D$65</f>
        <v/>
      </c>
      <c r="AO18" s="3">
        <f>AO14*Inputs!$D$65</f>
        <v/>
      </c>
      <c r="AP18" s="3">
        <f>AP14*Inputs!$D$65</f>
        <v/>
      </c>
      <c r="AQ18" s="3">
        <f>AQ14*Inputs!$D$65</f>
        <v/>
      </c>
      <c r="AR18" s="3">
        <f>AR14*Inputs!$D$65</f>
        <v/>
      </c>
      <c r="AS18" s="3">
        <f>AS14*Inputs!$D$65</f>
        <v/>
      </c>
      <c r="AT18" s="3">
        <f>AT14*Inputs!$D$65</f>
        <v/>
      </c>
      <c r="AU18" s="3">
        <f>AU14*Inputs!$D$65</f>
        <v/>
      </c>
      <c r="AV18" s="3">
        <f>AV14*Inputs!$D$65</f>
        <v/>
      </c>
      <c r="AW18" s="3">
        <f>AW14*Inputs!$D$65</f>
        <v/>
      </c>
      <c r="AX18" s="3">
        <f>AX14*Inputs!$D$65</f>
        <v/>
      </c>
      <c r="AY18" s="3">
        <f>AY14*Inputs!$D$65</f>
        <v/>
      </c>
      <c r="AZ18" s="3">
        <f>AZ14*Inputs!$D$65</f>
        <v/>
      </c>
      <c r="BA18" s="3">
        <f>BA14*Inputs!$D$65</f>
        <v/>
      </c>
      <c r="BB18" s="3">
        <f>BB14*Inputs!$D$65</f>
        <v/>
      </c>
      <c r="BC18" s="3">
        <f>BC14*Inputs!$D$65</f>
        <v/>
      </c>
      <c r="BD18" s="3">
        <f>BD14*Inputs!$D$65</f>
        <v/>
      </c>
      <c r="BE18" s="3">
        <f>BE14*Inputs!$D$65</f>
        <v/>
      </c>
      <c r="BF18" s="3">
        <f>BF14*Inputs!$D$65</f>
        <v/>
      </c>
      <c r="BG18" s="3">
        <f>BG14*Inputs!$D$65</f>
        <v/>
      </c>
      <c r="BH18" s="3">
        <f>BH14*Inputs!$D$65</f>
        <v/>
      </c>
      <c r="BI18" s="3">
        <f>BI14*Inputs!$D$65</f>
        <v/>
      </c>
      <c r="BJ18" s="3">
        <f>BJ14*Inputs!$D$65</f>
        <v/>
      </c>
    </row>
    <row r="19">
      <c r="A19" t="inlineStr">
        <is>
          <t>Other variable</t>
        </is>
      </c>
      <c r="C19" s="3">
        <f>C14*Inputs!$D$66</f>
        <v/>
      </c>
      <c r="D19" s="3">
        <f>D14*Inputs!$D$66</f>
        <v/>
      </c>
      <c r="E19" s="3">
        <f>E14*Inputs!$D$66</f>
        <v/>
      </c>
      <c r="F19" s="3">
        <f>F14*Inputs!$D$66</f>
        <v/>
      </c>
      <c r="G19" s="3">
        <f>G14*Inputs!$D$66</f>
        <v/>
      </c>
      <c r="H19" s="3">
        <f>H14*Inputs!$D$66</f>
        <v/>
      </c>
      <c r="I19" s="3">
        <f>I14*Inputs!$D$66</f>
        <v/>
      </c>
      <c r="J19" s="3">
        <f>J14*Inputs!$D$66</f>
        <v/>
      </c>
      <c r="K19" s="3">
        <f>K14*Inputs!$D$66</f>
        <v/>
      </c>
      <c r="L19" s="3">
        <f>L14*Inputs!$D$66</f>
        <v/>
      </c>
      <c r="M19" s="3">
        <f>M14*Inputs!$D$66</f>
        <v/>
      </c>
      <c r="N19" s="3">
        <f>N14*Inputs!$D$66</f>
        <v/>
      </c>
      <c r="O19" s="3">
        <f>O14*Inputs!$D$66</f>
        <v/>
      </c>
      <c r="P19" s="3">
        <f>P14*Inputs!$D$66</f>
        <v/>
      </c>
      <c r="Q19" s="3">
        <f>Q14*Inputs!$D$66</f>
        <v/>
      </c>
      <c r="R19" s="3">
        <f>R14*Inputs!$D$66</f>
        <v/>
      </c>
      <c r="S19" s="3">
        <f>S14*Inputs!$D$66</f>
        <v/>
      </c>
      <c r="T19" s="3">
        <f>T14*Inputs!$D$66</f>
        <v/>
      </c>
      <c r="U19" s="3">
        <f>U14*Inputs!$D$66</f>
        <v/>
      </c>
      <c r="V19" s="3">
        <f>V14*Inputs!$D$66</f>
        <v/>
      </c>
      <c r="W19" s="3">
        <f>W14*Inputs!$D$66</f>
        <v/>
      </c>
      <c r="X19" s="3">
        <f>X14*Inputs!$D$66</f>
        <v/>
      </c>
      <c r="Y19" s="3">
        <f>Y14*Inputs!$D$66</f>
        <v/>
      </c>
      <c r="Z19" s="3">
        <f>Z14*Inputs!$D$66</f>
        <v/>
      </c>
      <c r="AA19" s="3">
        <f>AA14*Inputs!$D$66</f>
        <v/>
      </c>
      <c r="AB19" s="3">
        <f>AB14*Inputs!$D$66</f>
        <v/>
      </c>
      <c r="AC19" s="3">
        <f>AC14*Inputs!$D$66</f>
        <v/>
      </c>
      <c r="AD19" s="3">
        <f>AD14*Inputs!$D$66</f>
        <v/>
      </c>
      <c r="AE19" s="3">
        <f>AE14*Inputs!$D$66</f>
        <v/>
      </c>
      <c r="AF19" s="3">
        <f>AF14*Inputs!$D$66</f>
        <v/>
      </c>
      <c r="AG19" s="3">
        <f>AG14*Inputs!$D$66</f>
        <v/>
      </c>
      <c r="AH19" s="3">
        <f>AH14*Inputs!$D$66</f>
        <v/>
      </c>
      <c r="AI19" s="3">
        <f>AI14*Inputs!$D$66</f>
        <v/>
      </c>
      <c r="AJ19" s="3">
        <f>AJ14*Inputs!$D$66</f>
        <v/>
      </c>
      <c r="AK19" s="3">
        <f>AK14*Inputs!$D$66</f>
        <v/>
      </c>
      <c r="AL19" s="3">
        <f>AL14*Inputs!$D$66</f>
        <v/>
      </c>
      <c r="AM19" s="3">
        <f>AM14*Inputs!$D$66</f>
        <v/>
      </c>
      <c r="AN19" s="3">
        <f>AN14*Inputs!$D$66</f>
        <v/>
      </c>
      <c r="AO19" s="3">
        <f>AO14*Inputs!$D$66</f>
        <v/>
      </c>
      <c r="AP19" s="3">
        <f>AP14*Inputs!$D$66</f>
        <v/>
      </c>
      <c r="AQ19" s="3">
        <f>AQ14*Inputs!$D$66</f>
        <v/>
      </c>
      <c r="AR19" s="3">
        <f>AR14*Inputs!$D$66</f>
        <v/>
      </c>
      <c r="AS19" s="3">
        <f>AS14*Inputs!$D$66</f>
        <v/>
      </c>
      <c r="AT19" s="3">
        <f>AT14*Inputs!$D$66</f>
        <v/>
      </c>
      <c r="AU19" s="3">
        <f>AU14*Inputs!$D$66</f>
        <v/>
      </c>
      <c r="AV19" s="3">
        <f>AV14*Inputs!$D$66</f>
        <v/>
      </c>
      <c r="AW19" s="3">
        <f>AW14*Inputs!$D$66</f>
        <v/>
      </c>
      <c r="AX19" s="3">
        <f>AX14*Inputs!$D$66</f>
        <v/>
      </c>
      <c r="AY19" s="3">
        <f>AY14*Inputs!$D$66</f>
        <v/>
      </c>
      <c r="AZ19" s="3">
        <f>AZ14*Inputs!$D$66</f>
        <v/>
      </c>
      <c r="BA19" s="3">
        <f>BA14*Inputs!$D$66</f>
        <v/>
      </c>
      <c r="BB19" s="3">
        <f>BB14*Inputs!$D$66</f>
        <v/>
      </c>
      <c r="BC19" s="3">
        <f>BC14*Inputs!$D$66</f>
        <v/>
      </c>
      <c r="BD19" s="3">
        <f>BD14*Inputs!$D$66</f>
        <v/>
      </c>
      <c r="BE19" s="3">
        <f>BE14*Inputs!$D$66</f>
        <v/>
      </c>
      <c r="BF19" s="3">
        <f>BF14*Inputs!$D$66</f>
        <v/>
      </c>
      <c r="BG19" s="3">
        <f>BG14*Inputs!$D$66</f>
        <v/>
      </c>
      <c r="BH19" s="3">
        <f>BH14*Inputs!$D$66</f>
        <v/>
      </c>
      <c r="BI19" s="3">
        <f>BI14*Inputs!$D$66</f>
        <v/>
      </c>
      <c r="BJ19" s="3">
        <f>BJ14*Inputs!$D$66</f>
        <v/>
      </c>
    </row>
    <row r="20">
      <c r="A20" t="inlineStr">
        <is>
          <t>Utilities</t>
        </is>
      </c>
      <c r="C20" s="3">
        <f>INDEX(Inputs!$D$84:$F$84,1,Inputs!$E$17)*(1+Inputs!$D$74)^(C4-1)+C14*Inputs!$D$67</f>
        <v/>
      </c>
      <c r="D20" s="3">
        <f>INDEX(Inputs!$D$84:$F$84,1,Inputs!$E$17)*(1+Inputs!$D$74)^(D4-1)+D14*Inputs!$D$67</f>
        <v/>
      </c>
      <c r="E20" s="3">
        <f>INDEX(Inputs!$D$84:$F$84,1,Inputs!$E$17)*(1+Inputs!$D$74)^(E4-1)+E14*Inputs!$D$67</f>
        <v/>
      </c>
      <c r="F20" s="3">
        <f>INDEX(Inputs!$D$84:$F$84,1,Inputs!$E$17)*(1+Inputs!$D$74)^(F4-1)+F14*Inputs!$D$67</f>
        <v/>
      </c>
      <c r="G20" s="3">
        <f>INDEX(Inputs!$D$84:$F$84,1,Inputs!$E$17)*(1+Inputs!$D$74)^(G4-1)+G14*Inputs!$D$67</f>
        <v/>
      </c>
      <c r="H20" s="3">
        <f>INDEX(Inputs!$D$84:$F$84,1,Inputs!$E$17)*(1+Inputs!$D$74)^(H4-1)+H14*Inputs!$D$67</f>
        <v/>
      </c>
      <c r="I20" s="3">
        <f>INDEX(Inputs!$D$84:$F$84,1,Inputs!$E$17)*(1+Inputs!$D$74)^(I4-1)+I14*Inputs!$D$67</f>
        <v/>
      </c>
      <c r="J20" s="3">
        <f>INDEX(Inputs!$D$84:$F$84,1,Inputs!$E$17)*(1+Inputs!$D$74)^(J4-1)+J14*Inputs!$D$67</f>
        <v/>
      </c>
      <c r="K20" s="3">
        <f>INDEX(Inputs!$D$84:$F$84,1,Inputs!$E$17)*(1+Inputs!$D$74)^(K4-1)+K14*Inputs!$D$67</f>
        <v/>
      </c>
      <c r="L20" s="3">
        <f>INDEX(Inputs!$D$84:$F$84,1,Inputs!$E$17)*(1+Inputs!$D$74)^(L4-1)+L14*Inputs!$D$67</f>
        <v/>
      </c>
      <c r="M20" s="3">
        <f>INDEX(Inputs!$D$84:$F$84,1,Inputs!$E$17)*(1+Inputs!$D$74)^(M4-1)+M14*Inputs!$D$67</f>
        <v/>
      </c>
      <c r="N20" s="3">
        <f>INDEX(Inputs!$D$84:$F$84,1,Inputs!$E$17)*(1+Inputs!$D$74)^(N4-1)+N14*Inputs!$D$67</f>
        <v/>
      </c>
      <c r="O20" s="3">
        <f>INDEX(Inputs!$D$84:$F$84,1,Inputs!$E$17)*(1+Inputs!$D$74)^(O4-1)+O14*Inputs!$D$67</f>
        <v/>
      </c>
      <c r="P20" s="3">
        <f>INDEX(Inputs!$D$84:$F$84,1,Inputs!$E$17)*(1+Inputs!$D$74)^(P4-1)+P14*Inputs!$D$67</f>
        <v/>
      </c>
      <c r="Q20" s="3">
        <f>INDEX(Inputs!$D$84:$F$84,1,Inputs!$E$17)*(1+Inputs!$D$74)^(Q4-1)+Q14*Inputs!$D$67</f>
        <v/>
      </c>
      <c r="R20" s="3">
        <f>INDEX(Inputs!$D$84:$F$84,1,Inputs!$E$17)*(1+Inputs!$D$74)^(R4-1)+R14*Inputs!$D$67</f>
        <v/>
      </c>
      <c r="S20" s="3">
        <f>INDEX(Inputs!$D$84:$F$84,1,Inputs!$E$17)*(1+Inputs!$D$74)^(S4-1)+S14*Inputs!$D$67</f>
        <v/>
      </c>
      <c r="T20" s="3">
        <f>INDEX(Inputs!$D$84:$F$84,1,Inputs!$E$17)*(1+Inputs!$D$74)^(T4-1)+T14*Inputs!$D$67</f>
        <v/>
      </c>
      <c r="U20" s="3">
        <f>INDEX(Inputs!$D$84:$F$84,1,Inputs!$E$17)*(1+Inputs!$D$74)^(U4-1)+U14*Inputs!$D$67</f>
        <v/>
      </c>
      <c r="V20" s="3">
        <f>INDEX(Inputs!$D$84:$F$84,1,Inputs!$E$17)*(1+Inputs!$D$74)^(V4-1)+V14*Inputs!$D$67</f>
        <v/>
      </c>
      <c r="W20" s="3">
        <f>INDEX(Inputs!$D$84:$F$84,1,Inputs!$E$17)*(1+Inputs!$D$74)^(W4-1)+W14*Inputs!$D$67</f>
        <v/>
      </c>
      <c r="X20" s="3">
        <f>INDEX(Inputs!$D$84:$F$84,1,Inputs!$E$17)*(1+Inputs!$D$74)^(X4-1)+X14*Inputs!$D$67</f>
        <v/>
      </c>
      <c r="Y20" s="3">
        <f>INDEX(Inputs!$D$84:$F$84,1,Inputs!$E$17)*(1+Inputs!$D$74)^(Y4-1)+Y14*Inputs!$D$67</f>
        <v/>
      </c>
      <c r="Z20" s="3">
        <f>INDEX(Inputs!$D$84:$F$84,1,Inputs!$E$17)*(1+Inputs!$D$74)^(Z4-1)+Z14*Inputs!$D$67</f>
        <v/>
      </c>
      <c r="AA20" s="3">
        <f>INDEX(Inputs!$D$84:$F$84,1,Inputs!$E$17)*(1+Inputs!$D$74)^(AA4-1)+AA14*Inputs!$D$67</f>
        <v/>
      </c>
      <c r="AB20" s="3">
        <f>INDEX(Inputs!$D$84:$F$84,1,Inputs!$E$17)*(1+Inputs!$D$74)^(AB4-1)+AB14*Inputs!$D$67</f>
        <v/>
      </c>
      <c r="AC20" s="3">
        <f>INDEX(Inputs!$D$84:$F$84,1,Inputs!$E$17)*(1+Inputs!$D$74)^(AC4-1)+AC14*Inputs!$D$67</f>
        <v/>
      </c>
      <c r="AD20" s="3">
        <f>INDEX(Inputs!$D$84:$F$84,1,Inputs!$E$17)*(1+Inputs!$D$74)^(AD4-1)+AD14*Inputs!$D$67</f>
        <v/>
      </c>
      <c r="AE20" s="3">
        <f>INDEX(Inputs!$D$84:$F$84,1,Inputs!$E$17)*(1+Inputs!$D$74)^(AE4-1)+AE14*Inputs!$D$67</f>
        <v/>
      </c>
      <c r="AF20" s="3">
        <f>INDEX(Inputs!$D$84:$F$84,1,Inputs!$E$17)*(1+Inputs!$D$74)^(AF4-1)+AF14*Inputs!$D$67</f>
        <v/>
      </c>
      <c r="AG20" s="3">
        <f>INDEX(Inputs!$D$84:$F$84,1,Inputs!$E$17)*(1+Inputs!$D$74)^(AG4-1)+AG14*Inputs!$D$67</f>
        <v/>
      </c>
      <c r="AH20" s="3">
        <f>INDEX(Inputs!$D$84:$F$84,1,Inputs!$E$17)*(1+Inputs!$D$74)^(AH4-1)+AH14*Inputs!$D$67</f>
        <v/>
      </c>
      <c r="AI20" s="3">
        <f>INDEX(Inputs!$D$84:$F$84,1,Inputs!$E$17)*(1+Inputs!$D$74)^(AI4-1)+AI14*Inputs!$D$67</f>
        <v/>
      </c>
      <c r="AJ20" s="3">
        <f>INDEX(Inputs!$D$84:$F$84,1,Inputs!$E$17)*(1+Inputs!$D$74)^(AJ4-1)+AJ14*Inputs!$D$67</f>
        <v/>
      </c>
      <c r="AK20" s="3">
        <f>INDEX(Inputs!$D$84:$F$84,1,Inputs!$E$17)*(1+Inputs!$D$74)^(AK4-1)+AK14*Inputs!$D$67</f>
        <v/>
      </c>
      <c r="AL20" s="3">
        <f>INDEX(Inputs!$D$84:$F$84,1,Inputs!$E$17)*(1+Inputs!$D$74)^(AL4-1)+AL14*Inputs!$D$67</f>
        <v/>
      </c>
      <c r="AM20" s="3">
        <f>INDEX(Inputs!$D$84:$F$84,1,Inputs!$E$17)*(1+Inputs!$D$74)^(AM4-1)+AM14*Inputs!$D$67</f>
        <v/>
      </c>
      <c r="AN20" s="3">
        <f>INDEX(Inputs!$D$84:$F$84,1,Inputs!$E$17)*(1+Inputs!$D$74)^(AN4-1)+AN14*Inputs!$D$67</f>
        <v/>
      </c>
      <c r="AO20" s="3">
        <f>INDEX(Inputs!$D$84:$F$84,1,Inputs!$E$17)*(1+Inputs!$D$74)^(AO4-1)+AO14*Inputs!$D$67</f>
        <v/>
      </c>
      <c r="AP20" s="3">
        <f>INDEX(Inputs!$D$84:$F$84,1,Inputs!$E$17)*(1+Inputs!$D$74)^(AP4-1)+AP14*Inputs!$D$67</f>
        <v/>
      </c>
      <c r="AQ20" s="3">
        <f>INDEX(Inputs!$D$84:$F$84,1,Inputs!$E$17)*(1+Inputs!$D$74)^(AQ4-1)+AQ14*Inputs!$D$67</f>
        <v/>
      </c>
      <c r="AR20" s="3">
        <f>INDEX(Inputs!$D$84:$F$84,1,Inputs!$E$17)*(1+Inputs!$D$74)^(AR4-1)+AR14*Inputs!$D$67</f>
        <v/>
      </c>
      <c r="AS20" s="3">
        <f>INDEX(Inputs!$D$84:$F$84,1,Inputs!$E$17)*(1+Inputs!$D$74)^(AS4-1)+AS14*Inputs!$D$67</f>
        <v/>
      </c>
      <c r="AT20" s="3">
        <f>INDEX(Inputs!$D$84:$F$84,1,Inputs!$E$17)*(1+Inputs!$D$74)^(AT4-1)+AT14*Inputs!$D$67</f>
        <v/>
      </c>
      <c r="AU20" s="3">
        <f>INDEX(Inputs!$D$84:$F$84,1,Inputs!$E$17)*(1+Inputs!$D$74)^(AU4-1)+AU14*Inputs!$D$67</f>
        <v/>
      </c>
      <c r="AV20" s="3">
        <f>INDEX(Inputs!$D$84:$F$84,1,Inputs!$E$17)*(1+Inputs!$D$74)^(AV4-1)+AV14*Inputs!$D$67</f>
        <v/>
      </c>
      <c r="AW20" s="3">
        <f>INDEX(Inputs!$D$84:$F$84,1,Inputs!$E$17)*(1+Inputs!$D$74)^(AW4-1)+AW14*Inputs!$D$67</f>
        <v/>
      </c>
      <c r="AX20" s="3">
        <f>INDEX(Inputs!$D$84:$F$84,1,Inputs!$E$17)*(1+Inputs!$D$74)^(AX4-1)+AX14*Inputs!$D$67</f>
        <v/>
      </c>
      <c r="AY20" s="3">
        <f>INDEX(Inputs!$D$84:$F$84,1,Inputs!$E$17)*(1+Inputs!$D$74)^(AY4-1)+AY14*Inputs!$D$67</f>
        <v/>
      </c>
      <c r="AZ20" s="3">
        <f>INDEX(Inputs!$D$84:$F$84,1,Inputs!$E$17)*(1+Inputs!$D$74)^(AZ4-1)+AZ14*Inputs!$D$67</f>
        <v/>
      </c>
      <c r="BA20" s="3">
        <f>INDEX(Inputs!$D$84:$F$84,1,Inputs!$E$17)*(1+Inputs!$D$74)^(BA4-1)+BA14*Inputs!$D$67</f>
        <v/>
      </c>
      <c r="BB20" s="3">
        <f>INDEX(Inputs!$D$84:$F$84,1,Inputs!$E$17)*(1+Inputs!$D$74)^(BB4-1)+BB14*Inputs!$D$67</f>
        <v/>
      </c>
      <c r="BC20" s="3">
        <f>INDEX(Inputs!$D$84:$F$84,1,Inputs!$E$17)*(1+Inputs!$D$74)^(BC4-1)+BC14*Inputs!$D$67</f>
        <v/>
      </c>
      <c r="BD20" s="3">
        <f>INDEX(Inputs!$D$84:$F$84,1,Inputs!$E$17)*(1+Inputs!$D$74)^(BD4-1)+BD14*Inputs!$D$67</f>
        <v/>
      </c>
      <c r="BE20" s="3">
        <f>INDEX(Inputs!$D$84:$F$84,1,Inputs!$E$17)*(1+Inputs!$D$74)^(BE4-1)+BE14*Inputs!$D$67</f>
        <v/>
      </c>
      <c r="BF20" s="3">
        <f>INDEX(Inputs!$D$84:$F$84,1,Inputs!$E$17)*(1+Inputs!$D$74)^(BF4-1)+BF14*Inputs!$D$67</f>
        <v/>
      </c>
      <c r="BG20" s="3">
        <f>INDEX(Inputs!$D$84:$F$84,1,Inputs!$E$17)*(1+Inputs!$D$74)^(BG4-1)+BG14*Inputs!$D$67</f>
        <v/>
      </c>
      <c r="BH20" s="3">
        <f>INDEX(Inputs!$D$84:$F$84,1,Inputs!$E$17)*(1+Inputs!$D$74)^(BH4-1)+BH14*Inputs!$D$67</f>
        <v/>
      </c>
      <c r="BI20" s="3">
        <f>INDEX(Inputs!$D$84:$F$84,1,Inputs!$E$17)*(1+Inputs!$D$74)^(BI4-1)+BI14*Inputs!$D$67</f>
        <v/>
      </c>
      <c r="BJ20" s="3">
        <f>INDEX(Inputs!$D$84:$F$84,1,Inputs!$E$17)*(1+Inputs!$D$74)^(BJ4-1)+BJ14*Inputs!$D$67</f>
        <v/>
      </c>
    </row>
    <row r="21">
      <c r="A21" t="inlineStr">
        <is>
          <t>Peak-season flag</t>
        </is>
      </c>
      <c r="C21" s="7">
        <f>IF(C7&gt;=Inputs!$D$73,1,0)</f>
        <v/>
      </c>
      <c r="D21" s="7">
        <f>IF(D7&gt;=Inputs!$D$73,1,0)</f>
        <v/>
      </c>
      <c r="E21" s="7">
        <f>IF(E7&gt;=Inputs!$D$73,1,0)</f>
        <v/>
      </c>
      <c r="F21" s="7">
        <f>IF(F7&gt;=Inputs!$D$73,1,0)</f>
        <v/>
      </c>
      <c r="G21" s="7">
        <f>IF(G7&gt;=Inputs!$D$73,1,0)</f>
        <v/>
      </c>
      <c r="H21" s="7">
        <f>IF(H7&gt;=Inputs!$D$73,1,0)</f>
        <v/>
      </c>
      <c r="I21" s="7">
        <f>IF(I7&gt;=Inputs!$D$73,1,0)</f>
        <v/>
      </c>
      <c r="J21" s="7">
        <f>IF(J7&gt;=Inputs!$D$73,1,0)</f>
        <v/>
      </c>
      <c r="K21" s="7">
        <f>IF(K7&gt;=Inputs!$D$73,1,0)</f>
        <v/>
      </c>
      <c r="L21" s="7">
        <f>IF(L7&gt;=Inputs!$D$73,1,0)</f>
        <v/>
      </c>
      <c r="M21" s="7">
        <f>IF(M7&gt;=Inputs!$D$73,1,0)</f>
        <v/>
      </c>
      <c r="N21" s="7">
        <f>IF(N7&gt;=Inputs!$D$73,1,0)</f>
        <v/>
      </c>
      <c r="O21" s="7">
        <f>IF(O7&gt;=Inputs!$D$73,1,0)</f>
        <v/>
      </c>
      <c r="P21" s="7">
        <f>IF(P7&gt;=Inputs!$D$73,1,0)</f>
        <v/>
      </c>
      <c r="Q21" s="7">
        <f>IF(Q7&gt;=Inputs!$D$73,1,0)</f>
        <v/>
      </c>
      <c r="R21" s="7">
        <f>IF(R7&gt;=Inputs!$D$73,1,0)</f>
        <v/>
      </c>
      <c r="S21" s="7">
        <f>IF(S7&gt;=Inputs!$D$73,1,0)</f>
        <v/>
      </c>
      <c r="T21" s="7">
        <f>IF(T7&gt;=Inputs!$D$73,1,0)</f>
        <v/>
      </c>
      <c r="U21" s="7">
        <f>IF(U7&gt;=Inputs!$D$73,1,0)</f>
        <v/>
      </c>
      <c r="V21" s="7">
        <f>IF(V7&gt;=Inputs!$D$73,1,0)</f>
        <v/>
      </c>
      <c r="W21" s="7">
        <f>IF(W7&gt;=Inputs!$D$73,1,0)</f>
        <v/>
      </c>
      <c r="X21" s="7">
        <f>IF(X7&gt;=Inputs!$D$73,1,0)</f>
        <v/>
      </c>
      <c r="Y21" s="7">
        <f>IF(Y7&gt;=Inputs!$D$73,1,0)</f>
        <v/>
      </c>
      <c r="Z21" s="7">
        <f>IF(Z7&gt;=Inputs!$D$73,1,0)</f>
        <v/>
      </c>
      <c r="AA21" s="7">
        <f>IF(AA7&gt;=Inputs!$D$73,1,0)</f>
        <v/>
      </c>
      <c r="AB21" s="7">
        <f>IF(AB7&gt;=Inputs!$D$73,1,0)</f>
        <v/>
      </c>
      <c r="AC21" s="7">
        <f>IF(AC7&gt;=Inputs!$D$73,1,0)</f>
        <v/>
      </c>
      <c r="AD21" s="7">
        <f>IF(AD7&gt;=Inputs!$D$73,1,0)</f>
        <v/>
      </c>
      <c r="AE21" s="7">
        <f>IF(AE7&gt;=Inputs!$D$73,1,0)</f>
        <v/>
      </c>
      <c r="AF21" s="7">
        <f>IF(AF7&gt;=Inputs!$D$73,1,0)</f>
        <v/>
      </c>
      <c r="AG21" s="7">
        <f>IF(AG7&gt;=Inputs!$D$73,1,0)</f>
        <v/>
      </c>
      <c r="AH21" s="7">
        <f>IF(AH7&gt;=Inputs!$D$73,1,0)</f>
        <v/>
      </c>
      <c r="AI21" s="7">
        <f>IF(AI7&gt;=Inputs!$D$73,1,0)</f>
        <v/>
      </c>
      <c r="AJ21" s="7">
        <f>IF(AJ7&gt;=Inputs!$D$73,1,0)</f>
        <v/>
      </c>
      <c r="AK21" s="7">
        <f>IF(AK7&gt;=Inputs!$D$73,1,0)</f>
        <v/>
      </c>
      <c r="AL21" s="7">
        <f>IF(AL7&gt;=Inputs!$D$73,1,0)</f>
        <v/>
      </c>
      <c r="AM21" s="7">
        <f>IF(AM7&gt;=Inputs!$D$73,1,0)</f>
        <v/>
      </c>
      <c r="AN21" s="7">
        <f>IF(AN7&gt;=Inputs!$D$73,1,0)</f>
        <v/>
      </c>
      <c r="AO21" s="7">
        <f>IF(AO7&gt;=Inputs!$D$73,1,0)</f>
        <v/>
      </c>
      <c r="AP21" s="7">
        <f>IF(AP7&gt;=Inputs!$D$73,1,0)</f>
        <v/>
      </c>
      <c r="AQ21" s="7">
        <f>IF(AQ7&gt;=Inputs!$D$73,1,0)</f>
        <v/>
      </c>
      <c r="AR21" s="7">
        <f>IF(AR7&gt;=Inputs!$D$73,1,0)</f>
        <v/>
      </c>
      <c r="AS21" s="7">
        <f>IF(AS7&gt;=Inputs!$D$73,1,0)</f>
        <v/>
      </c>
      <c r="AT21" s="7">
        <f>IF(AT7&gt;=Inputs!$D$73,1,0)</f>
        <v/>
      </c>
      <c r="AU21" s="7">
        <f>IF(AU7&gt;=Inputs!$D$73,1,0)</f>
        <v/>
      </c>
      <c r="AV21" s="7">
        <f>IF(AV7&gt;=Inputs!$D$73,1,0)</f>
        <v/>
      </c>
      <c r="AW21" s="7">
        <f>IF(AW7&gt;=Inputs!$D$73,1,0)</f>
        <v/>
      </c>
      <c r="AX21" s="7">
        <f>IF(AX7&gt;=Inputs!$D$73,1,0)</f>
        <v/>
      </c>
      <c r="AY21" s="7">
        <f>IF(AY7&gt;=Inputs!$D$73,1,0)</f>
        <v/>
      </c>
      <c r="AZ21" s="7">
        <f>IF(AZ7&gt;=Inputs!$D$73,1,0)</f>
        <v/>
      </c>
      <c r="BA21" s="7">
        <f>IF(BA7&gt;=Inputs!$D$73,1,0)</f>
        <v/>
      </c>
      <c r="BB21" s="7">
        <f>IF(BB7&gt;=Inputs!$D$73,1,0)</f>
        <v/>
      </c>
      <c r="BC21" s="7">
        <f>IF(BC7&gt;=Inputs!$D$73,1,0)</f>
        <v/>
      </c>
      <c r="BD21" s="7">
        <f>IF(BD7&gt;=Inputs!$D$73,1,0)</f>
        <v/>
      </c>
      <c r="BE21" s="7">
        <f>IF(BE7&gt;=Inputs!$D$73,1,0)</f>
        <v/>
      </c>
      <c r="BF21" s="7">
        <f>IF(BF7&gt;=Inputs!$D$73,1,0)</f>
        <v/>
      </c>
      <c r="BG21" s="7">
        <f>IF(BG7&gt;=Inputs!$D$73,1,0)</f>
        <v/>
      </c>
      <c r="BH21" s="7">
        <f>IF(BH7&gt;=Inputs!$D$73,1,0)</f>
        <v/>
      </c>
      <c r="BI21" s="7">
        <f>IF(BI7&gt;=Inputs!$D$73,1,0)</f>
        <v/>
      </c>
      <c r="BJ21" s="7">
        <f>IF(BJ7&gt;=Inputs!$D$73,1,0)</f>
        <v/>
      </c>
    </row>
    <row r="22">
      <c r="A22" t="inlineStr">
        <is>
          <t>FTE</t>
        </is>
      </c>
      <c r="C22" s="24">
        <f>INDEX(Inputs!$D$80:$F$80,1,Inputs!$E$17)+C21*INDEX(Inputs!$D$81:$F$81,1,Inputs!$E$17)</f>
        <v/>
      </c>
      <c r="D22" s="24">
        <f>INDEX(Inputs!$D$80:$F$80,1,Inputs!$E$17)+D21*INDEX(Inputs!$D$81:$F$81,1,Inputs!$E$17)</f>
        <v/>
      </c>
      <c r="E22" s="24">
        <f>INDEX(Inputs!$D$80:$F$80,1,Inputs!$E$17)+E21*INDEX(Inputs!$D$81:$F$81,1,Inputs!$E$17)</f>
        <v/>
      </c>
      <c r="F22" s="24">
        <f>INDEX(Inputs!$D$80:$F$80,1,Inputs!$E$17)+F21*INDEX(Inputs!$D$81:$F$81,1,Inputs!$E$17)</f>
        <v/>
      </c>
      <c r="G22" s="24">
        <f>INDEX(Inputs!$D$80:$F$80,1,Inputs!$E$17)+G21*INDEX(Inputs!$D$81:$F$81,1,Inputs!$E$17)</f>
        <v/>
      </c>
      <c r="H22" s="24">
        <f>INDEX(Inputs!$D$80:$F$80,1,Inputs!$E$17)+H21*INDEX(Inputs!$D$81:$F$81,1,Inputs!$E$17)</f>
        <v/>
      </c>
      <c r="I22" s="24">
        <f>INDEX(Inputs!$D$80:$F$80,1,Inputs!$E$17)+I21*INDEX(Inputs!$D$81:$F$81,1,Inputs!$E$17)</f>
        <v/>
      </c>
      <c r="J22" s="24">
        <f>INDEX(Inputs!$D$80:$F$80,1,Inputs!$E$17)+J21*INDEX(Inputs!$D$81:$F$81,1,Inputs!$E$17)</f>
        <v/>
      </c>
      <c r="K22" s="24">
        <f>INDEX(Inputs!$D$80:$F$80,1,Inputs!$E$17)+K21*INDEX(Inputs!$D$81:$F$81,1,Inputs!$E$17)</f>
        <v/>
      </c>
      <c r="L22" s="24">
        <f>INDEX(Inputs!$D$80:$F$80,1,Inputs!$E$17)+L21*INDEX(Inputs!$D$81:$F$81,1,Inputs!$E$17)</f>
        <v/>
      </c>
      <c r="M22" s="24">
        <f>INDEX(Inputs!$D$80:$F$80,1,Inputs!$E$17)+M21*INDEX(Inputs!$D$81:$F$81,1,Inputs!$E$17)</f>
        <v/>
      </c>
      <c r="N22" s="24">
        <f>INDEX(Inputs!$D$80:$F$80,1,Inputs!$E$17)+N21*INDEX(Inputs!$D$81:$F$81,1,Inputs!$E$17)</f>
        <v/>
      </c>
      <c r="O22" s="24">
        <f>INDEX(Inputs!$D$80:$F$80,1,Inputs!$E$17)+O21*INDEX(Inputs!$D$81:$F$81,1,Inputs!$E$17)</f>
        <v/>
      </c>
      <c r="P22" s="24">
        <f>INDEX(Inputs!$D$80:$F$80,1,Inputs!$E$17)+P21*INDEX(Inputs!$D$81:$F$81,1,Inputs!$E$17)</f>
        <v/>
      </c>
      <c r="Q22" s="24">
        <f>INDEX(Inputs!$D$80:$F$80,1,Inputs!$E$17)+Q21*INDEX(Inputs!$D$81:$F$81,1,Inputs!$E$17)</f>
        <v/>
      </c>
      <c r="R22" s="24">
        <f>INDEX(Inputs!$D$80:$F$80,1,Inputs!$E$17)+R21*INDEX(Inputs!$D$81:$F$81,1,Inputs!$E$17)</f>
        <v/>
      </c>
      <c r="S22" s="24">
        <f>INDEX(Inputs!$D$80:$F$80,1,Inputs!$E$17)+S21*INDEX(Inputs!$D$81:$F$81,1,Inputs!$E$17)</f>
        <v/>
      </c>
      <c r="T22" s="24">
        <f>INDEX(Inputs!$D$80:$F$80,1,Inputs!$E$17)+T21*INDEX(Inputs!$D$81:$F$81,1,Inputs!$E$17)</f>
        <v/>
      </c>
      <c r="U22" s="24">
        <f>INDEX(Inputs!$D$80:$F$80,1,Inputs!$E$17)+U21*INDEX(Inputs!$D$81:$F$81,1,Inputs!$E$17)</f>
        <v/>
      </c>
      <c r="V22" s="24">
        <f>INDEX(Inputs!$D$80:$F$80,1,Inputs!$E$17)+V21*INDEX(Inputs!$D$81:$F$81,1,Inputs!$E$17)</f>
        <v/>
      </c>
      <c r="W22" s="24">
        <f>INDEX(Inputs!$D$80:$F$80,1,Inputs!$E$17)+W21*INDEX(Inputs!$D$81:$F$81,1,Inputs!$E$17)</f>
        <v/>
      </c>
      <c r="X22" s="24">
        <f>INDEX(Inputs!$D$80:$F$80,1,Inputs!$E$17)+X21*INDEX(Inputs!$D$81:$F$81,1,Inputs!$E$17)</f>
        <v/>
      </c>
      <c r="Y22" s="24">
        <f>INDEX(Inputs!$D$80:$F$80,1,Inputs!$E$17)+Y21*INDEX(Inputs!$D$81:$F$81,1,Inputs!$E$17)</f>
        <v/>
      </c>
      <c r="Z22" s="24">
        <f>INDEX(Inputs!$D$80:$F$80,1,Inputs!$E$17)+Z21*INDEX(Inputs!$D$81:$F$81,1,Inputs!$E$17)</f>
        <v/>
      </c>
      <c r="AA22" s="24">
        <f>INDEX(Inputs!$D$80:$F$80,1,Inputs!$E$17)+AA21*INDEX(Inputs!$D$81:$F$81,1,Inputs!$E$17)</f>
        <v/>
      </c>
      <c r="AB22" s="24">
        <f>INDEX(Inputs!$D$80:$F$80,1,Inputs!$E$17)+AB21*INDEX(Inputs!$D$81:$F$81,1,Inputs!$E$17)</f>
        <v/>
      </c>
      <c r="AC22" s="24">
        <f>INDEX(Inputs!$D$80:$F$80,1,Inputs!$E$17)+AC21*INDEX(Inputs!$D$81:$F$81,1,Inputs!$E$17)</f>
        <v/>
      </c>
      <c r="AD22" s="24">
        <f>INDEX(Inputs!$D$80:$F$80,1,Inputs!$E$17)+AD21*INDEX(Inputs!$D$81:$F$81,1,Inputs!$E$17)</f>
        <v/>
      </c>
      <c r="AE22" s="24">
        <f>INDEX(Inputs!$D$80:$F$80,1,Inputs!$E$17)+AE21*INDEX(Inputs!$D$81:$F$81,1,Inputs!$E$17)</f>
        <v/>
      </c>
      <c r="AF22" s="24">
        <f>INDEX(Inputs!$D$80:$F$80,1,Inputs!$E$17)+AF21*INDEX(Inputs!$D$81:$F$81,1,Inputs!$E$17)</f>
        <v/>
      </c>
      <c r="AG22" s="24">
        <f>INDEX(Inputs!$D$80:$F$80,1,Inputs!$E$17)+AG21*INDEX(Inputs!$D$81:$F$81,1,Inputs!$E$17)</f>
        <v/>
      </c>
      <c r="AH22" s="24">
        <f>INDEX(Inputs!$D$80:$F$80,1,Inputs!$E$17)+AH21*INDEX(Inputs!$D$81:$F$81,1,Inputs!$E$17)</f>
        <v/>
      </c>
      <c r="AI22" s="24">
        <f>INDEX(Inputs!$D$80:$F$80,1,Inputs!$E$17)+AI21*INDEX(Inputs!$D$81:$F$81,1,Inputs!$E$17)</f>
        <v/>
      </c>
      <c r="AJ22" s="24">
        <f>INDEX(Inputs!$D$80:$F$80,1,Inputs!$E$17)+AJ21*INDEX(Inputs!$D$81:$F$81,1,Inputs!$E$17)</f>
        <v/>
      </c>
      <c r="AK22" s="24">
        <f>INDEX(Inputs!$D$80:$F$80,1,Inputs!$E$17)+AK21*INDEX(Inputs!$D$81:$F$81,1,Inputs!$E$17)</f>
        <v/>
      </c>
      <c r="AL22" s="24">
        <f>INDEX(Inputs!$D$80:$F$80,1,Inputs!$E$17)+AL21*INDEX(Inputs!$D$81:$F$81,1,Inputs!$E$17)</f>
        <v/>
      </c>
      <c r="AM22" s="24">
        <f>INDEX(Inputs!$D$80:$F$80,1,Inputs!$E$17)+AM21*INDEX(Inputs!$D$81:$F$81,1,Inputs!$E$17)</f>
        <v/>
      </c>
      <c r="AN22" s="24">
        <f>INDEX(Inputs!$D$80:$F$80,1,Inputs!$E$17)+AN21*INDEX(Inputs!$D$81:$F$81,1,Inputs!$E$17)</f>
        <v/>
      </c>
      <c r="AO22" s="24">
        <f>INDEX(Inputs!$D$80:$F$80,1,Inputs!$E$17)+AO21*INDEX(Inputs!$D$81:$F$81,1,Inputs!$E$17)</f>
        <v/>
      </c>
      <c r="AP22" s="24">
        <f>INDEX(Inputs!$D$80:$F$80,1,Inputs!$E$17)+AP21*INDEX(Inputs!$D$81:$F$81,1,Inputs!$E$17)</f>
        <v/>
      </c>
      <c r="AQ22" s="24">
        <f>INDEX(Inputs!$D$80:$F$80,1,Inputs!$E$17)+AQ21*INDEX(Inputs!$D$81:$F$81,1,Inputs!$E$17)</f>
        <v/>
      </c>
      <c r="AR22" s="24">
        <f>INDEX(Inputs!$D$80:$F$80,1,Inputs!$E$17)+AR21*INDEX(Inputs!$D$81:$F$81,1,Inputs!$E$17)</f>
        <v/>
      </c>
      <c r="AS22" s="24">
        <f>INDEX(Inputs!$D$80:$F$80,1,Inputs!$E$17)+AS21*INDEX(Inputs!$D$81:$F$81,1,Inputs!$E$17)</f>
        <v/>
      </c>
      <c r="AT22" s="24">
        <f>INDEX(Inputs!$D$80:$F$80,1,Inputs!$E$17)+AT21*INDEX(Inputs!$D$81:$F$81,1,Inputs!$E$17)</f>
        <v/>
      </c>
      <c r="AU22" s="24">
        <f>INDEX(Inputs!$D$80:$F$80,1,Inputs!$E$17)+AU21*INDEX(Inputs!$D$81:$F$81,1,Inputs!$E$17)</f>
        <v/>
      </c>
      <c r="AV22" s="24">
        <f>INDEX(Inputs!$D$80:$F$80,1,Inputs!$E$17)+AV21*INDEX(Inputs!$D$81:$F$81,1,Inputs!$E$17)</f>
        <v/>
      </c>
      <c r="AW22" s="24">
        <f>INDEX(Inputs!$D$80:$F$80,1,Inputs!$E$17)+AW21*INDEX(Inputs!$D$81:$F$81,1,Inputs!$E$17)</f>
        <v/>
      </c>
      <c r="AX22" s="24">
        <f>INDEX(Inputs!$D$80:$F$80,1,Inputs!$E$17)+AX21*INDEX(Inputs!$D$81:$F$81,1,Inputs!$E$17)</f>
        <v/>
      </c>
      <c r="AY22" s="24">
        <f>INDEX(Inputs!$D$80:$F$80,1,Inputs!$E$17)+AY21*INDEX(Inputs!$D$81:$F$81,1,Inputs!$E$17)</f>
        <v/>
      </c>
      <c r="AZ22" s="24">
        <f>INDEX(Inputs!$D$80:$F$80,1,Inputs!$E$17)+AZ21*INDEX(Inputs!$D$81:$F$81,1,Inputs!$E$17)</f>
        <v/>
      </c>
      <c r="BA22" s="24">
        <f>INDEX(Inputs!$D$80:$F$80,1,Inputs!$E$17)+BA21*INDEX(Inputs!$D$81:$F$81,1,Inputs!$E$17)</f>
        <v/>
      </c>
      <c r="BB22" s="24">
        <f>INDEX(Inputs!$D$80:$F$80,1,Inputs!$E$17)+BB21*INDEX(Inputs!$D$81:$F$81,1,Inputs!$E$17)</f>
        <v/>
      </c>
      <c r="BC22" s="24">
        <f>INDEX(Inputs!$D$80:$F$80,1,Inputs!$E$17)+BC21*INDEX(Inputs!$D$81:$F$81,1,Inputs!$E$17)</f>
        <v/>
      </c>
      <c r="BD22" s="24">
        <f>INDEX(Inputs!$D$80:$F$80,1,Inputs!$E$17)+BD21*INDEX(Inputs!$D$81:$F$81,1,Inputs!$E$17)</f>
        <v/>
      </c>
      <c r="BE22" s="24">
        <f>INDEX(Inputs!$D$80:$F$80,1,Inputs!$E$17)+BE21*INDEX(Inputs!$D$81:$F$81,1,Inputs!$E$17)</f>
        <v/>
      </c>
      <c r="BF22" s="24">
        <f>INDEX(Inputs!$D$80:$F$80,1,Inputs!$E$17)+BF21*INDEX(Inputs!$D$81:$F$81,1,Inputs!$E$17)</f>
        <v/>
      </c>
      <c r="BG22" s="24">
        <f>INDEX(Inputs!$D$80:$F$80,1,Inputs!$E$17)+BG21*INDEX(Inputs!$D$81:$F$81,1,Inputs!$E$17)</f>
        <v/>
      </c>
      <c r="BH22" s="24">
        <f>INDEX(Inputs!$D$80:$F$80,1,Inputs!$E$17)+BH21*INDEX(Inputs!$D$81:$F$81,1,Inputs!$E$17)</f>
        <v/>
      </c>
      <c r="BI22" s="24">
        <f>INDEX(Inputs!$D$80:$F$80,1,Inputs!$E$17)+BI21*INDEX(Inputs!$D$81:$F$81,1,Inputs!$E$17)</f>
        <v/>
      </c>
      <c r="BJ22" s="24">
        <f>INDEX(Inputs!$D$80:$F$80,1,Inputs!$E$17)+BJ21*INDEX(Inputs!$D$81:$F$81,1,Inputs!$E$17)</f>
        <v/>
      </c>
    </row>
    <row r="23">
      <c r="A23" t="inlineStr">
        <is>
          <t>Labour</t>
        </is>
      </c>
      <c r="C23" s="3">
        <f>(C22*INDEX(Inputs!$D$82:$F$82,1,Inputs!$E$17)+INDEX(Inputs!$D$83:$F$83,1,Inputs!$E$17))*(1+Inputs!$D$75)^(C4-1)*(1+Inputs!$D$71)+C22*Inputs!$D$72</f>
        <v/>
      </c>
      <c r="D23" s="3">
        <f>(D22*INDEX(Inputs!$D$82:$F$82,1,Inputs!$E$17)+INDEX(Inputs!$D$83:$F$83,1,Inputs!$E$17))*(1+Inputs!$D$75)^(D4-1)*(1+Inputs!$D$71)+D22*Inputs!$D$72</f>
        <v/>
      </c>
      <c r="E23" s="3">
        <f>(E22*INDEX(Inputs!$D$82:$F$82,1,Inputs!$E$17)+INDEX(Inputs!$D$83:$F$83,1,Inputs!$E$17))*(1+Inputs!$D$75)^(E4-1)*(1+Inputs!$D$71)+E22*Inputs!$D$72</f>
        <v/>
      </c>
      <c r="F23" s="3">
        <f>(F22*INDEX(Inputs!$D$82:$F$82,1,Inputs!$E$17)+INDEX(Inputs!$D$83:$F$83,1,Inputs!$E$17))*(1+Inputs!$D$75)^(F4-1)*(1+Inputs!$D$71)+F22*Inputs!$D$72</f>
        <v/>
      </c>
      <c r="G23" s="3">
        <f>(G22*INDEX(Inputs!$D$82:$F$82,1,Inputs!$E$17)+INDEX(Inputs!$D$83:$F$83,1,Inputs!$E$17))*(1+Inputs!$D$75)^(G4-1)*(1+Inputs!$D$71)+G22*Inputs!$D$72</f>
        <v/>
      </c>
      <c r="H23" s="3">
        <f>(H22*INDEX(Inputs!$D$82:$F$82,1,Inputs!$E$17)+INDEX(Inputs!$D$83:$F$83,1,Inputs!$E$17))*(1+Inputs!$D$75)^(H4-1)*(1+Inputs!$D$71)+H22*Inputs!$D$72</f>
        <v/>
      </c>
      <c r="I23" s="3">
        <f>(I22*INDEX(Inputs!$D$82:$F$82,1,Inputs!$E$17)+INDEX(Inputs!$D$83:$F$83,1,Inputs!$E$17))*(1+Inputs!$D$75)^(I4-1)*(1+Inputs!$D$71)+I22*Inputs!$D$72</f>
        <v/>
      </c>
      <c r="J23" s="3">
        <f>(J22*INDEX(Inputs!$D$82:$F$82,1,Inputs!$E$17)+INDEX(Inputs!$D$83:$F$83,1,Inputs!$E$17))*(1+Inputs!$D$75)^(J4-1)*(1+Inputs!$D$71)+J22*Inputs!$D$72</f>
        <v/>
      </c>
      <c r="K23" s="3">
        <f>(K22*INDEX(Inputs!$D$82:$F$82,1,Inputs!$E$17)+INDEX(Inputs!$D$83:$F$83,1,Inputs!$E$17))*(1+Inputs!$D$75)^(K4-1)*(1+Inputs!$D$71)+K22*Inputs!$D$72</f>
        <v/>
      </c>
      <c r="L23" s="3">
        <f>(L22*INDEX(Inputs!$D$82:$F$82,1,Inputs!$E$17)+INDEX(Inputs!$D$83:$F$83,1,Inputs!$E$17))*(1+Inputs!$D$75)^(L4-1)*(1+Inputs!$D$71)+L22*Inputs!$D$72</f>
        <v/>
      </c>
      <c r="M23" s="3">
        <f>(M22*INDEX(Inputs!$D$82:$F$82,1,Inputs!$E$17)+INDEX(Inputs!$D$83:$F$83,1,Inputs!$E$17))*(1+Inputs!$D$75)^(M4-1)*(1+Inputs!$D$71)+M22*Inputs!$D$72</f>
        <v/>
      </c>
      <c r="N23" s="3">
        <f>(N22*INDEX(Inputs!$D$82:$F$82,1,Inputs!$E$17)+INDEX(Inputs!$D$83:$F$83,1,Inputs!$E$17))*(1+Inputs!$D$75)^(N4-1)*(1+Inputs!$D$71)+N22*Inputs!$D$72</f>
        <v/>
      </c>
      <c r="O23" s="3">
        <f>(O22*INDEX(Inputs!$D$82:$F$82,1,Inputs!$E$17)+INDEX(Inputs!$D$83:$F$83,1,Inputs!$E$17))*(1+Inputs!$D$75)^(O4-1)*(1+Inputs!$D$71)+O22*Inputs!$D$72</f>
        <v/>
      </c>
      <c r="P23" s="3">
        <f>(P22*INDEX(Inputs!$D$82:$F$82,1,Inputs!$E$17)+INDEX(Inputs!$D$83:$F$83,1,Inputs!$E$17))*(1+Inputs!$D$75)^(P4-1)*(1+Inputs!$D$71)+P22*Inputs!$D$72</f>
        <v/>
      </c>
      <c r="Q23" s="3">
        <f>(Q22*INDEX(Inputs!$D$82:$F$82,1,Inputs!$E$17)+INDEX(Inputs!$D$83:$F$83,1,Inputs!$E$17))*(1+Inputs!$D$75)^(Q4-1)*(1+Inputs!$D$71)+Q22*Inputs!$D$72</f>
        <v/>
      </c>
      <c r="R23" s="3">
        <f>(R22*INDEX(Inputs!$D$82:$F$82,1,Inputs!$E$17)+INDEX(Inputs!$D$83:$F$83,1,Inputs!$E$17))*(1+Inputs!$D$75)^(R4-1)*(1+Inputs!$D$71)+R22*Inputs!$D$72</f>
        <v/>
      </c>
      <c r="S23" s="3">
        <f>(S22*INDEX(Inputs!$D$82:$F$82,1,Inputs!$E$17)+INDEX(Inputs!$D$83:$F$83,1,Inputs!$E$17))*(1+Inputs!$D$75)^(S4-1)*(1+Inputs!$D$71)+S22*Inputs!$D$72</f>
        <v/>
      </c>
      <c r="T23" s="3">
        <f>(T22*INDEX(Inputs!$D$82:$F$82,1,Inputs!$E$17)+INDEX(Inputs!$D$83:$F$83,1,Inputs!$E$17))*(1+Inputs!$D$75)^(T4-1)*(1+Inputs!$D$71)+T22*Inputs!$D$72</f>
        <v/>
      </c>
      <c r="U23" s="3">
        <f>(U22*INDEX(Inputs!$D$82:$F$82,1,Inputs!$E$17)+INDEX(Inputs!$D$83:$F$83,1,Inputs!$E$17))*(1+Inputs!$D$75)^(U4-1)*(1+Inputs!$D$71)+U22*Inputs!$D$72</f>
        <v/>
      </c>
      <c r="V23" s="3">
        <f>(V22*INDEX(Inputs!$D$82:$F$82,1,Inputs!$E$17)+INDEX(Inputs!$D$83:$F$83,1,Inputs!$E$17))*(1+Inputs!$D$75)^(V4-1)*(1+Inputs!$D$71)+V22*Inputs!$D$72</f>
        <v/>
      </c>
      <c r="W23" s="3">
        <f>(W22*INDEX(Inputs!$D$82:$F$82,1,Inputs!$E$17)+INDEX(Inputs!$D$83:$F$83,1,Inputs!$E$17))*(1+Inputs!$D$75)^(W4-1)*(1+Inputs!$D$71)+W22*Inputs!$D$72</f>
        <v/>
      </c>
      <c r="X23" s="3">
        <f>(X22*INDEX(Inputs!$D$82:$F$82,1,Inputs!$E$17)+INDEX(Inputs!$D$83:$F$83,1,Inputs!$E$17))*(1+Inputs!$D$75)^(X4-1)*(1+Inputs!$D$71)+X22*Inputs!$D$72</f>
        <v/>
      </c>
      <c r="Y23" s="3">
        <f>(Y22*INDEX(Inputs!$D$82:$F$82,1,Inputs!$E$17)+INDEX(Inputs!$D$83:$F$83,1,Inputs!$E$17))*(1+Inputs!$D$75)^(Y4-1)*(1+Inputs!$D$71)+Y22*Inputs!$D$72</f>
        <v/>
      </c>
      <c r="Z23" s="3">
        <f>(Z22*INDEX(Inputs!$D$82:$F$82,1,Inputs!$E$17)+INDEX(Inputs!$D$83:$F$83,1,Inputs!$E$17))*(1+Inputs!$D$75)^(Z4-1)*(1+Inputs!$D$71)+Z22*Inputs!$D$72</f>
        <v/>
      </c>
      <c r="AA23" s="3">
        <f>(AA22*INDEX(Inputs!$D$82:$F$82,1,Inputs!$E$17)+INDEX(Inputs!$D$83:$F$83,1,Inputs!$E$17))*(1+Inputs!$D$75)^(AA4-1)*(1+Inputs!$D$71)+AA22*Inputs!$D$72</f>
        <v/>
      </c>
      <c r="AB23" s="3">
        <f>(AB22*INDEX(Inputs!$D$82:$F$82,1,Inputs!$E$17)+INDEX(Inputs!$D$83:$F$83,1,Inputs!$E$17))*(1+Inputs!$D$75)^(AB4-1)*(1+Inputs!$D$71)+AB22*Inputs!$D$72</f>
        <v/>
      </c>
      <c r="AC23" s="3">
        <f>(AC22*INDEX(Inputs!$D$82:$F$82,1,Inputs!$E$17)+INDEX(Inputs!$D$83:$F$83,1,Inputs!$E$17))*(1+Inputs!$D$75)^(AC4-1)*(1+Inputs!$D$71)+AC22*Inputs!$D$72</f>
        <v/>
      </c>
      <c r="AD23" s="3">
        <f>(AD22*INDEX(Inputs!$D$82:$F$82,1,Inputs!$E$17)+INDEX(Inputs!$D$83:$F$83,1,Inputs!$E$17))*(1+Inputs!$D$75)^(AD4-1)*(1+Inputs!$D$71)+AD22*Inputs!$D$72</f>
        <v/>
      </c>
      <c r="AE23" s="3">
        <f>(AE22*INDEX(Inputs!$D$82:$F$82,1,Inputs!$E$17)+INDEX(Inputs!$D$83:$F$83,1,Inputs!$E$17))*(1+Inputs!$D$75)^(AE4-1)*(1+Inputs!$D$71)+AE22*Inputs!$D$72</f>
        <v/>
      </c>
      <c r="AF23" s="3">
        <f>(AF22*INDEX(Inputs!$D$82:$F$82,1,Inputs!$E$17)+INDEX(Inputs!$D$83:$F$83,1,Inputs!$E$17))*(1+Inputs!$D$75)^(AF4-1)*(1+Inputs!$D$71)+AF22*Inputs!$D$72</f>
        <v/>
      </c>
      <c r="AG23" s="3">
        <f>(AG22*INDEX(Inputs!$D$82:$F$82,1,Inputs!$E$17)+INDEX(Inputs!$D$83:$F$83,1,Inputs!$E$17))*(1+Inputs!$D$75)^(AG4-1)*(1+Inputs!$D$71)+AG22*Inputs!$D$72</f>
        <v/>
      </c>
      <c r="AH23" s="3">
        <f>(AH22*INDEX(Inputs!$D$82:$F$82,1,Inputs!$E$17)+INDEX(Inputs!$D$83:$F$83,1,Inputs!$E$17))*(1+Inputs!$D$75)^(AH4-1)*(1+Inputs!$D$71)+AH22*Inputs!$D$72</f>
        <v/>
      </c>
      <c r="AI23" s="3">
        <f>(AI22*INDEX(Inputs!$D$82:$F$82,1,Inputs!$E$17)+INDEX(Inputs!$D$83:$F$83,1,Inputs!$E$17))*(1+Inputs!$D$75)^(AI4-1)*(1+Inputs!$D$71)+AI22*Inputs!$D$72</f>
        <v/>
      </c>
      <c r="AJ23" s="3">
        <f>(AJ22*INDEX(Inputs!$D$82:$F$82,1,Inputs!$E$17)+INDEX(Inputs!$D$83:$F$83,1,Inputs!$E$17))*(1+Inputs!$D$75)^(AJ4-1)*(1+Inputs!$D$71)+AJ22*Inputs!$D$72</f>
        <v/>
      </c>
      <c r="AK23" s="3">
        <f>(AK22*INDEX(Inputs!$D$82:$F$82,1,Inputs!$E$17)+INDEX(Inputs!$D$83:$F$83,1,Inputs!$E$17))*(1+Inputs!$D$75)^(AK4-1)*(1+Inputs!$D$71)+AK22*Inputs!$D$72</f>
        <v/>
      </c>
      <c r="AL23" s="3">
        <f>(AL22*INDEX(Inputs!$D$82:$F$82,1,Inputs!$E$17)+INDEX(Inputs!$D$83:$F$83,1,Inputs!$E$17))*(1+Inputs!$D$75)^(AL4-1)*(1+Inputs!$D$71)+AL22*Inputs!$D$72</f>
        <v/>
      </c>
      <c r="AM23" s="3">
        <f>(AM22*INDEX(Inputs!$D$82:$F$82,1,Inputs!$E$17)+INDEX(Inputs!$D$83:$F$83,1,Inputs!$E$17))*(1+Inputs!$D$75)^(AM4-1)*(1+Inputs!$D$71)+AM22*Inputs!$D$72</f>
        <v/>
      </c>
      <c r="AN23" s="3">
        <f>(AN22*INDEX(Inputs!$D$82:$F$82,1,Inputs!$E$17)+INDEX(Inputs!$D$83:$F$83,1,Inputs!$E$17))*(1+Inputs!$D$75)^(AN4-1)*(1+Inputs!$D$71)+AN22*Inputs!$D$72</f>
        <v/>
      </c>
      <c r="AO23" s="3">
        <f>(AO22*INDEX(Inputs!$D$82:$F$82,1,Inputs!$E$17)+INDEX(Inputs!$D$83:$F$83,1,Inputs!$E$17))*(1+Inputs!$D$75)^(AO4-1)*(1+Inputs!$D$71)+AO22*Inputs!$D$72</f>
        <v/>
      </c>
      <c r="AP23" s="3">
        <f>(AP22*INDEX(Inputs!$D$82:$F$82,1,Inputs!$E$17)+INDEX(Inputs!$D$83:$F$83,1,Inputs!$E$17))*(1+Inputs!$D$75)^(AP4-1)*(1+Inputs!$D$71)+AP22*Inputs!$D$72</f>
        <v/>
      </c>
      <c r="AQ23" s="3">
        <f>(AQ22*INDEX(Inputs!$D$82:$F$82,1,Inputs!$E$17)+INDEX(Inputs!$D$83:$F$83,1,Inputs!$E$17))*(1+Inputs!$D$75)^(AQ4-1)*(1+Inputs!$D$71)+AQ22*Inputs!$D$72</f>
        <v/>
      </c>
      <c r="AR23" s="3">
        <f>(AR22*INDEX(Inputs!$D$82:$F$82,1,Inputs!$E$17)+INDEX(Inputs!$D$83:$F$83,1,Inputs!$E$17))*(1+Inputs!$D$75)^(AR4-1)*(1+Inputs!$D$71)+AR22*Inputs!$D$72</f>
        <v/>
      </c>
      <c r="AS23" s="3">
        <f>(AS22*INDEX(Inputs!$D$82:$F$82,1,Inputs!$E$17)+INDEX(Inputs!$D$83:$F$83,1,Inputs!$E$17))*(1+Inputs!$D$75)^(AS4-1)*(1+Inputs!$D$71)+AS22*Inputs!$D$72</f>
        <v/>
      </c>
      <c r="AT23" s="3">
        <f>(AT22*INDEX(Inputs!$D$82:$F$82,1,Inputs!$E$17)+INDEX(Inputs!$D$83:$F$83,1,Inputs!$E$17))*(1+Inputs!$D$75)^(AT4-1)*(1+Inputs!$D$71)+AT22*Inputs!$D$72</f>
        <v/>
      </c>
      <c r="AU23" s="3">
        <f>(AU22*INDEX(Inputs!$D$82:$F$82,1,Inputs!$E$17)+INDEX(Inputs!$D$83:$F$83,1,Inputs!$E$17))*(1+Inputs!$D$75)^(AU4-1)*(1+Inputs!$D$71)+AU22*Inputs!$D$72</f>
        <v/>
      </c>
      <c r="AV23" s="3">
        <f>(AV22*INDEX(Inputs!$D$82:$F$82,1,Inputs!$E$17)+INDEX(Inputs!$D$83:$F$83,1,Inputs!$E$17))*(1+Inputs!$D$75)^(AV4-1)*(1+Inputs!$D$71)+AV22*Inputs!$D$72</f>
        <v/>
      </c>
      <c r="AW23" s="3">
        <f>(AW22*INDEX(Inputs!$D$82:$F$82,1,Inputs!$E$17)+INDEX(Inputs!$D$83:$F$83,1,Inputs!$E$17))*(1+Inputs!$D$75)^(AW4-1)*(1+Inputs!$D$71)+AW22*Inputs!$D$72</f>
        <v/>
      </c>
      <c r="AX23" s="3">
        <f>(AX22*INDEX(Inputs!$D$82:$F$82,1,Inputs!$E$17)+INDEX(Inputs!$D$83:$F$83,1,Inputs!$E$17))*(1+Inputs!$D$75)^(AX4-1)*(1+Inputs!$D$71)+AX22*Inputs!$D$72</f>
        <v/>
      </c>
      <c r="AY23" s="3">
        <f>(AY22*INDEX(Inputs!$D$82:$F$82,1,Inputs!$E$17)+INDEX(Inputs!$D$83:$F$83,1,Inputs!$E$17))*(1+Inputs!$D$75)^(AY4-1)*(1+Inputs!$D$71)+AY22*Inputs!$D$72</f>
        <v/>
      </c>
      <c r="AZ23" s="3">
        <f>(AZ22*INDEX(Inputs!$D$82:$F$82,1,Inputs!$E$17)+INDEX(Inputs!$D$83:$F$83,1,Inputs!$E$17))*(1+Inputs!$D$75)^(AZ4-1)*(1+Inputs!$D$71)+AZ22*Inputs!$D$72</f>
        <v/>
      </c>
      <c r="BA23" s="3">
        <f>(BA22*INDEX(Inputs!$D$82:$F$82,1,Inputs!$E$17)+INDEX(Inputs!$D$83:$F$83,1,Inputs!$E$17))*(1+Inputs!$D$75)^(BA4-1)*(1+Inputs!$D$71)+BA22*Inputs!$D$72</f>
        <v/>
      </c>
      <c r="BB23" s="3">
        <f>(BB22*INDEX(Inputs!$D$82:$F$82,1,Inputs!$E$17)+INDEX(Inputs!$D$83:$F$83,1,Inputs!$E$17))*(1+Inputs!$D$75)^(BB4-1)*(1+Inputs!$D$71)+BB22*Inputs!$D$72</f>
        <v/>
      </c>
      <c r="BC23" s="3">
        <f>(BC22*INDEX(Inputs!$D$82:$F$82,1,Inputs!$E$17)+INDEX(Inputs!$D$83:$F$83,1,Inputs!$E$17))*(1+Inputs!$D$75)^(BC4-1)*(1+Inputs!$D$71)+BC22*Inputs!$D$72</f>
        <v/>
      </c>
      <c r="BD23" s="3">
        <f>(BD22*INDEX(Inputs!$D$82:$F$82,1,Inputs!$E$17)+INDEX(Inputs!$D$83:$F$83,1,Inputs!$E$17))*(1+Inputs!$D$75)^(BD4-1)*(1+Inputs!$D$71)+BD22*Inputs!$D$72</f>
        <v/>
      </c>
      <c r="BE23" s="3">
        <f>(BE22*INDEX(Inputs!$D$82:$F$82,1,Inputs!$E$17)+INDEX(Inputs!$D$83:$F$83,1,Inputs!$E$17))*(1+Inputs!$D$75)^(BE4-1)*(1+Inputs!$D$71)+BE22*Inputs!$D$72</f>
        <v/>
      </c>
      <c r="BF23" s="3">
        <f>(BF22*INDEX(Inputs!$D$82:$F$82,1,Inputs!$E$17)+INDEX(Inputs!$D$83:$F$83,1,Inputs!$E$17))*(1+Inputs!$D$75)^(BF4-1)*(1+Inputs!$D$71)+BF22*Inputs!$D$72</f>
        <v/>
      </c>
      <c r="BG23" s="3">
        <f>(BG22*INDEX(Inputs!$D$82:$F$82,1,Inputs!$E$17)+INDEX(Inputs!$D$83:$F$83,1,Inputs!$E$17))*(1+Inputs!$D$75)^(BG4-1)*(1+Inputs!$D$71)+BG22*Inputs!$D$72</f>
        <v/>
      </c>
      <c r="BH23" s="3">
        <f>(BH22*INDEX(Inputs!$D$82:$F$82,1,Inputs!$E$17)+INDEX(Inputs!$D$83:$F$83,1,Inputs!$E$17))*(1+Inputs!$D$75)^(BH4-1)*(1+Inputs!$D$71)+BH22*Inputs!$D$72</f>
        <v/>
      </c>
      <c r="BI23" s="3">
        <f>(BI22*INDEX(Inputs!$D$82:$F$82,1,Inputs!$E$17)+INDEX(Inputs!$D$83:$F$83,1,Inputs!$E$17))*(1+Inputs!$D$75)^(BI4-1)*(1+Inputs!$D$71)+BI22*Inputs!$D$72</f>
        <v/>
      </c>
      <c r="BJ23" s="3">
        <f>(BJ22*INDEX(Inputs!$D$82:$F$82,1,Inputs!$E$17)+INDEX(Inputs!$D$83:$F$83,1,Inputs!$E$17))*(1+Inputs!$D$75)^(BJ4-1)*(1+Inputs!$D$71)+BJ22*Inputs!$D$72</f>
        <v/>
      </c>
    </row>
    <row r="24">
      <c r="A24" t="inlineStr">
        <is>
          <t>Ground rent</t>
        </is>
      </c>
      <c r="C24" s="3">
        <f>Inputs!$D$18*Inputs!$D$69*(1+Inputs!$D$74)^(C4-1)</f>
        <v/>
      </c>
      <c r="D24" s="3">
        <f>Inputs!$D$18*Inputs!$D$69*(1+Inputs!$D$74)^(D4-1)</f>
        <v/>
      </c>
      <c r="E24" s="3">
        <f>Inputs!$D$18*Inputs!$D$69*(1+Inputs!$D$74)^(E4-1)</f>
        <v/>
      </c>
      <c r="F24" s="3">
        <f>Inputs!$D$18*Inputs!$D$69*(1+Inputs!$D$74)^(F4-1)</f>
        <v/>
      </c>
      <c r="G24" s="3">
        <f>Inputs!$D$18*Inputs!$D$69*(1+Inputs!$D$74)^(G4-1)</f>
        <v/>
      </c>
      <c r="H24" s="3">
        <f>Inputs!$D$18*Inputs!$D$69*(1+Inputs!$D$74)^(H4-1)</f>
        <v/>
      </c>
      <c r="I24" s="3">
        <f>Inputs!$D$18*Inputs!$D$69*(1+Inputs!$D$74)^(I4-1)</f>
        <v/>
      </c>
      <c r="J24" s="3">
        <f>Inputs!$D$18*Inputs!$D$69*(1+Inputs!$D$74)^(J4-1)</f>
        <v/>
      </c>
      <c r="K24" s="3">
        <f>Inputs!$D$18*Inputs!$D$69*(1+Inputs!$D$74)^(K4-1)</f>
        <v/>
      </c>
      <c r="L24" s="3">
        <f>Inputs!$D$18*Inputs!$D$69*(1+Inputs!$D$74)^(L4-1)</f>
        <v/>
      </c>
      <c r="M24" s="3">
        <f>Inputs!$D$18*Inputs!$D$69*(1+Inputs!$D$74)^(M4-1)</f>
        <v/>
      </c>
      <c r="N24" s="3">
        <f>Inputs!$D$18*Inputs!$D$69*(1+Inputs!$D$74)^(N4-1)</f>
        <v/>
      </c>
      <c r="O24" s="3">
        <f>Inputs!$D$18*Inputs!$D$69*(1+Inputs!$D$74)^(O4-1)</f>
        <v/>
      </c>
      <c r="P24" s="3">
        <f>Inputs!$D$18*Inputs!$D$69*(1+Inputs!$D$74)^(P4-1)</f>
        <v/>
      </c>
      <c r="Q24" s="3">
        <f>Inputs!$D$18*Inputs!$D$69*(1+Inputs!$D$74)^(Q4-1)</f>
        <v/>
      </c>
      <c r="R24" s="3">
        <f>Inputs!$D$18*Inputs!$D$69*(1+Inputs!$D$74)^(R4-1)</f>
        <v/>
      </c>
      <c r="S24" s="3">
        <f>Inputs!$D$18*Inputs!$D$69*(1+Inputs!$D$74)^(S4-1)</f>
        <v/>
      </c>
      <c r="T24" s="3">
        <f>Inputs!$D$18*Inputs!$D$69*(1+Inputs!$D$74)^(T4-1)</f>
        <v/>
      </c>
      <c r="U24" s="3">
        <f>Inputs!$D$18*Inputs!$D$69*(1+Inputs!$D$74)^(U4-1)</f>
        <v/>
      </c>
      <c r="V24" s="3">
        <f>Inputs!$D$18*Inputs!$D$69*(1+Inputs!$D$74)^(V4-1)</f>
        <v/>
      </c>
      <c r="W24" s="3">
        <f>Inputs!$D$18*Inputs!$D$69*(1+Inputs!$D$74)^(W4-1)</f>
        <v/>
      </c>
      <c r="X24" s="3">
        <f>Inputs!$D$18*Inputs!$D$69*(1+Inputs!$D$74)^(X4-1)</f>
        <v/>
      </c>
      <c r="Y24" s="3">
        <f>Inputs!$D$18*Inputs!$D$69*(1+Inputs!$D$74)^(Y4-1)</f>
        <v/>
      </c>
      <c r="Z24" s="3">
        <f>Inputs!$D$18*Inputs!$D$69*(1+Inputs!$D$74)^(Z4-1)</f>
        <v/>
      </c>
      <c r="AA24" s="3">
        <f>Inputs!$D$18*Inputs!$D$69*(1+Inputs!$D$74)^(AA4-1)</f>
        <v/>
      </c>
      <c r="AB24" s="3">
        <f>Inputs!$D$18*Inputs!$D$69*(1+Inputs!$D$74)^(AB4-1)</f>
        <v/>
      </c>
      <c r="AC24" s="3">
        <f>Inputs!$D$18*Inputs!$D$69*(1+Inputs!$D$74)^(AC4-1)</f>
        <v/>
      </c>
      <c r="AD24" s="3">
        <f>Inputs!$D$18*Inputs!$D$69*(1+Inputs!$D$74)^(AD4-1)</f>
        <v/>
      </c>
      <c r="AE24" s="3">
        <f>Inputs!$D$18*Inputs!$D$69*(1+Inputs!$D$74)^(AE4-1)</f>
        <v/>
      </c>
      <c r="AF24" s="3">
        <f>Inputs!$D$18*Inputs!$D$69*(1+Inputs!$D$74)^(AF4-1)</f>
        <v/>
      </c>
      <c r="AG24" s="3">
        <f>Inputs!$D$18*Inputs!$D$69*(1+Inputs!$D$74)^(AG4-1)</f>
        <v/>
      </c>
      <c r="AH24" s="3">
        <f>Inputs!$D$18*Inputs!$D$69*(1+Inputs!$D$74)^(AH4-1)</f>
        <v/>
      </c>
      <c r="AI24" s="3">
        <f>Inputs!$D$18*Inputs!$D$69*(1+Inputs!$D$74)^(AI4-1)</f>
        <v/>
      </c>
      <c r="AJ24" s="3">
        <f>Inputs!$D$18*Inputs!$D$69*(1+Inputs!$D$74)^(AJ4-1)</f>
        <v/>
      </c>
      <c r="AK24" s="3">
        <f>Inputs!$D$18*Inputs!$D$69*(1+Inputs!$D$74)^(AK4-1)</f>
        <v/>
      </c>
      <c r="AL24" s="3">
        <f>Inputs!$D$18*Inputs!$D$69*(1+Inputs!$D$74)^(AL4-1)</f>
        <v/>
      </c>
      <c r="AM24" s="3">
        <f>Inputs!$D$18*Inputs!$D$69*(1+Inputs!$D$74)^(AM4-1)</f>
        <v/>
      </c>
      <c r="AN24" s="3">
        <f>Inputs!$D$18*Inputs!$D$69*(1+Inputs!$D$74)^(AN4-1)</f>
        <v/>
      </c>
      <c r="AO24" s="3">
        <f>Inputs!$D$18*Inputs!$D$69*(1+Inputs!$D$74)^(AO4-1)</f>
        <v/>
      </c>
      <c r="AP24" s="3">
        <f>Inputs!$D$18*Inputs!$D$69*(1+Inputs!$D$74)^(AP4-1)</f>
        <v/>
      </c>
      <c r="AQ24" s="3">
        <f>Inputs!$D$18*Inputs!$D$69*(1+Inputs!$D$74)^(AQ4-1)</f>
        <v/>
      </c>
      <c r="AR24" s="3">
        <f>Inputs!$D$18*Inputs!$D$69*(1+Inputs!$D$74)^(AR4-1)</f>
        <v/>
      </c>
      <c r="AS24" s="3">
        <f>Inputs!$D$18*Inputs!$D$69*(1+Inputs!$D$74)^(AS4-1)</f>
        <v/>
      </c>
      <c r="AT24" s="3">
        <f>Inputs!$D$18*Inputs!$D$69*(1+Inputs!$D$74)^(AT4-1)</f>
        <v/>
      </c>
      <c r="AU24" s="3">
        <f>Inputs!$D$18*Inputs!$D$69*(1+Inputs!$D$74)^(AU4-1)</f>
        <v/>
      </c>
      <c r="AV24" s="3">
        <f>Inputs!$D$18*Inputs!$D$69*(1+Inputs!$D$74)^(AV4-1)</f>
        <v/>
      </c>
      <c r="AW24" s="3">
        <f>Inputs!$D$18*Inputs!$D$69*(1+Inputs!$D$74)^(AW4-1)</f>
        <v/>
      </c>
      <c r="AX24" s="3">
        <f>Inputs!$D$18*Inputs!$D$69*(1+Inputs!$D$74)^(AX4-1)</f>
        <v/>
      </c>
      <c r="AY24" s="3">
        <f>Inputs!$D$18*Inputs!$D$69*(1+Inputs!$D$74)^(AY4-1)</f>
        <v/>
      </c>
      <c r="AZ24" s="3">
        <f>Inputs!$D$18*Inputs!$D$69*(1+Inputs!$D$74)^(AZ4-1)</f>
        <v/>
      </c>
      <c r="BA24" s="3">
        <f>Inputs!$D$18*Inputs!$D$69*(1+Inputs!$D$74)^(BA4-1)</f>
        <v/>
      </c>
      <c r="BB24" s="3">
        <f>Inputs!$D$18*Inputs!$D$69*(1+Inputs!$D$74)^(BB4-1)</f>
        <v/>
      </c>
      <c r="BC24" s="3">
        <f>Inputs!$D$18*Inputs!$D$69*(1+Inputs!$D$74)^(BC4-1)</f>
        <v/>
      </c>
      <c r="BD24" s="3">
        <f>Inputs!$D$18*Inputs!$D$69*(1+Inputs!$D$74)^(BD4-1)</f>
        <v/>
      </c>
      <c r="BE24" s="3">
        <f>Inputs!$D$18*Inputs!$D$69*(1+Inputs!$D$74)^(BE4-1)</f>
        <v/>
      </c>
      <c r="BF24" s="3">
        <f>Inputs!$D$18*Inputs!$D$69*(1+Inputs!$D$74)^(BF4-1)</f>
        <v/>
      </c>
      <c r="BG24" s="3">
        <f>Inputs!$D$18*Inputs!$D$69*(1+Inputs!$D$74)^(BG4-1)</f>
        <v/>
      </c>
      <c r="BH24" s="3">
        <f>Inputs!$D$18*Inputs!$D$69*(1+Inputs!$D$74)^(BH4-1)</f>
        <v/>
      </c>
      <c r="BI24" s="3">
        <f>Inputs!$D$18*Inputs!$D$69*(1+Inputs!$D$74)^(BI4-1)</f>
        <v/>
      </c>
      <c r="BJ24" s="3">
        <f>Inputs!$D$18*Inputs!$D$69*(1+Inputs!$D$74)^(BJ4-1)</f>
        <v/>
      </c>
    </row>
    <row r="25">
      <c r="A25" t="inlineStr">
        <is>
          <t>Other fixed + land tax</t>
        </is>
      </c>
      <c r="C25" s="3">
        <f>Inputs!$D$68*(1+Inputs!$D$74)^(C4-1)+Inputs!$D$70/12</f>
        <v/>
      </c>
      <c r="D25" s="3">
        <f>Inputs!$D$68*(1+Inputs!$D$74)^(D4-1)+Inputs!$D$70/12</f>
        <v/>
      </c>
      <c r="E25" s="3">
        <f>Inputs!$D$68*(1+Inputs!$D$74)^(E4-1)+Inputs!$D$70/12</f>
        <v/>
      </c>
      <c r="F25" s="3">
        <f>Inputs!$D$68*(1+Inputs!$D$74)^(F4-1)+Inputs!$D$70/12</f>
        <v/>
      </c>
      <c r="G25" s="3">
        <f>Inputs!$D$68*(1+Inputs!$D$74)^(G4-1)+Inputs!$D$70/12</f>
        <v/>
      </c>
      <c r="H25" s="3">
        <f>Inputs!$D$68*(1+Inputs!$D$74)^(H4-1)+Inputs!$D$70/12</f>
        <v/>
      </c>
      <c r="I25" s="3">
        <f>Inputs!$D$68*(1+Inputs!$D$74)^(I4-1)+Inputs!$D$70/12</f>
        <v/>
      </c>
      <c r="J25" s="3">
        <f>Inputs!$D$68*(1+Inputs!$D$74)^(J4-1)+Inputs!$D$70/12</f>
        <v/>
      </c>
      <c r="K25" s="3">
        <f>Inputs!$D$68*(1+Inputs!$D$74)^(K4-1)+Inputs!$D$70/12</f>
        <v/>
      </c>
      <c r="L25" s="3">
        <f>Inputs!$D$68*(1+Inputs!$D$74)^(L4-1)+Inputs!$D$70/12</f>
        <v/>
      </c>
      <c r="M25" s="3">
        <f>Inputs!$D$68*(1+Inputs!$D$74)^(M4-1)+Inputs!$D$70/12</f>
        <v/>
      </c>
      <c r="N25" s="3">
        <f>Inputs!$D$68*(1+Inputs!$D$74)^(N4-1)+Inputs!$D$70/12</f>
        <v/>
      </c>
      <c r="O25" s="3">
        <f>Inputs!$D$68*(1+Inputs!$D$74)^(O4-1)+Inputs!$D$70/12</f>
        <v/>
      </c>
      <c r="P25" s="3">
        <f>Inputs!$D$68*(1+Inputs!$D$74)^(P4-1)+Inputs!$D$70/12</f>
        <v/>
      </c>
      <c r="Q25" s="3">
        <f>Inputs!$D$68*(1+Inputs!$D$74)^(Q4-1)+Inputs!$D$70/12</f>
        <v/>
      </c>
      <c r="R25" s="3">
        <f>Inputs!$D$68*(1+Inputs!$D$74)^(R4-1)+Inputs!$D$70/12</f>
        <v/>
      </c>
      <c r="S25" s="3">
        <f>Inputs!$D$68*(1+Inputs!$D$74)^(S4-1)+Inputs!$D$70/12</f>
        <v/>
      </c>
      <c r="T25" s="3">
        <f>Inputs!$D$68*(1+Inputs!$D$74)^(T4-1)+Inputs!$D$70/12</f>
        <v/>
      </c>
      <c r="U25" s="3">
        <f>Inputs!$D$68*(1+Inputs!$D$74)^(U4-1)+Inputs!$D$70/12</f>
        <v/>
      </c>
      <c r="V25" s="3">
        <f>Inputs!$D$68*(1+Inputs!$D$74)^(V4-1)+Inputs!$D$70/12</f>
        <v/>
      </c>
      <c r="W25" s="3">
        <f>Inputs!$D$68*(1+Inputs!$D$74)^(W4-1)+Inputs!$D$70/12</f>
        <v/>
      </c>
      <c r="X25" s="3">
        <f>Inputs!$D$68*(1+Inputs!$D$74)^(X4-1)+Inputs!$D$70/12</f>
        <v/>
      </c>
      <c r="Y25" s="3">
        <f>Inputs!$D$68*(1+Inputs!$D$74)^(Y4-1)+Inputs!$D$70/12</f>
        <v/>
      </c>
      <c r="Z25" s="3">
        <f>Inputs!$D$68*(1+Inputs!$D$74)^(Z4-1)+Inputs!$D$70/12</f>
        <v/>
      </c>
      <c r="AA25" s="3">
        <f>Inputs!$D$68*(1+Inputs!$D$74)^(AA4-1)+Inputs!$D$70/12</f>
        <v/>
      </c>
      <c r="AB25" s="3">
        <f>Inputs!$D$68*(1+Inputs!$D$74)^(AB4-1)+Inputs!$D$70/12</f>
        <v/>
      </c>
      <c r="AC25" s="3">
        <f>Inputs!$D$68*(1+Inputs!$D$74)^(AC4-1)+Inputs!$D$70/12</f>
        <v/>
      </c>
      <c r="AD25" s="3">
        <f>Inputs!$D$68*(1+Inputs!$D$74)^(AD4-1)+Inputs!$D$70/12</f>
        <v/>
      </c>
      <c r="AE25" s="3">
        <f>Inputs!$D$68*(1+Inputs!$D$74)^(AE4-1)+Inputs!$D$70/12</f>
        <v/>
      </c>
      <c r="AF25" s="3">
        <f>Inputs!$D$68*(1+Inputs!$D$74)^(AF4-1)+Inputs!$D$70/12</f>
        <v/>
      </c>
      <c r="AG25" s="3">
        <f>Inputs!$D$68*(1+Inputs!$D$74)^(AG4-1)+Inputs!$D$70/12</f>
        <v/>
      </c>
      <c r="AH25" s="3">
        <f>Inputs!$D$68*(1+Inputs!$D$74)^(AH4-1)+Inputs!$D$70/12</f>
        <v/>
      </c>
      <c r="AI25" s="3">
        <f>Inputs!$D$68*(1+Inputs!$D$74)^(AI4-1)+Inputs!$D$70/12</f>
        <v/>
      </c>
      <c r="AJ25" s="3">
        <f>Inputs!$D$68*(1+Inputs!$D$74)^(AJ4-1)+Inputs!$D$70/12</f>
        <v/>
      </c>
      <c r="AK25" s="3">
        <f>Inputs!$D$68*(1+Inputs!$D$74)^(AK4-1)+Inputs!$D$70/12</f>
        <v/>
      </c>
      <c r="AL25" s="3">
        <f>Inputs!$D$68*(1+Inputs!$D$74)^(AL4-1)+Inputs!$D$70/12</f>
        <v/>
      </c>
      <c r="AM25" s="3">
        <f>Inputs!$D$68*(1+Inputs!$D$74)^(AM4-1)+Inputs!$D$70/12</f>
        <v/>
      </c>
      <c r="AN25" s="3">
        <f>Inputs!$D$68*(1+Inputs!$D$74)^(AN4-1)+Inputs!$D$70/12</f>
        <v/>
      </c>
      <c r="AO25" s="3">
        <f>Inputs!$D$68*(1+Inputs!$D$74)^(AO4-1)+Inputs!$D$70/12</f>
        <v/>
      </c>
      <c r="AP25" s="3">
        <f>Inputs!$D$68*(1+Inputs!$D$74)^(AP4-1)+Inputs!$D$70/12</f>
        <v/>
      </c>
      <c r="AQ25" s="3">
        <f>Inputs!$D$68*(1+Inputs!$D$74)^(AQ4-1)+Inputs!$D$70/12</f>
        <v/>
      </c>
      <c r="AR25" s="3">
        <f>Inputs!$D$68*(1+Inputs!$D$74)^(AR4-1)+Inputs!$D$70/12</f>
        <v/>
      </c>
      <c r="AS25" s="3">
        <f>Inputs!$D$68*(1+Inputs!$D$74)^(AS4-1)+Inputs!$D$70/12</f>
        <v/>
      </c>
      <c r="AT25" s="3">
        <f>Inputs!$D$68*(1+Inputs!$D$74)^(AT4-1)+Inputs!$D$70/12</f>
        <v/>
      </c>
      <c r="AU25" s="3">
        <f>Inputs!$D$68*(1+Inputs!$D$74)^(AU4-1)+Inputs!$D$70/12</f>
        <v/>
      </c>
      <c r="AV25" s="3">
        <f>Inputs!$D$68*(1+Inputs!$D$74)^(AV4-1)+Inputs!$D$70/12</f>
        <v/>
      </c>
      <c r="AW25" s="3">
        <f>Inputs!$D$68*(1+Inputs!$D$74)^(AW4-1)+Inputs!$D$70/12</f>
        <v/>
      </c>
      <c r="AX25" s="3">
        <f>Inputs!$D$68*(1+Inputs!$D$74)^(AX4-1)+Inputs!$D$70/12</f>
        <v/>
      </c>
      <c r="AY25" s="3">
        <f>Inputs!$D$68*(1+Inputs!$D$74)^(AY4-1)+Inputs!$D$70/12</f>
        <v/>
      </c>
      <c r="AZ25" s="3">
        <f>Inputs!$D$68*(1+Inputs!$D$74)^(AZ4-1)+Inputs!$D$70/12</f>
        <v/>
      </c>
      <c r="BA25" s="3">
        <f>Inputs!$D$68*(1+Inputs!$D$74)^(BA4-1)+Inputs!$D$70/12</f>
        <v/>
      </c>
      <c r="BB25" s="3">
        <f>Inputs!$D$68*(1+Inputs!$D$74)^(BB4-1)+Inputs!$D$70/12</f>
        <v/>
      </c>
      <c r="BC25" s="3">
        <f>Inputs!$D$68*(1+Inputs!$D$74)^(BC4-1)+Inputs!$D$70/12</f>
        <v/>
      </c>
      <c r="BD25" s="3">
        <f>Inputs!$D$68*(1+Inputs!$D$74)^(BD4-1)+Inputs!$D$70/12</f>
        <v/>
      </c>
      <c r="BE25" s="3">
        <f>Inputs!$D$68*(1+Inputs!$D$74)^(BE4-1)+Inputs!$D$70/12</f>
        <v/>
      </c>
      <c r="BF25" s="3">
        <f>Inputs!$D$68*(1+Inputs!$D$74)^(BF4-1)+Inputs!$D$70/12</f>
        <v/>
      </c>
      <c r="BG25" s="3">
        <f>Inputs!$D$68*(1+Inputs!$D$74)^(BG4-1)+Inputs!$D$70/12</f>
        <v/>
      </c>
      <c r="BH25" s="3">
        <f>Inputs!$D$68*(1+Inputs!$D$74)^(BH4-1)+Inputs!$D$70/12</f>
        <v/>
      </c>
      <c r="BI25" s="3">
        <f>Inputs!$D$68*(1+Inputs!$D$74)^(BI4-1)+Inputs!$D$70/12</f>
        <v/>
      </c>
      <c r="BJ25" s="3">
        <f>Inputs!$D$68*(1+Inputs!$D$74)^(BJ4-1)+Inputs!$D$70/12</f>
        <v/>
      </c>
    </row>
    <row r="26">
      <c r="A26" s="18" t="inlineStr">
        <is>
          <t>Total operating costs</t>
        </is>
      </c>
      <c r="C26" s="3">
        <f>SUM(C15:C20)+C23+C24+C25</f>
        <v/>
      </c>
      <c r="D26" s="3">
        <f>SUM(D15:D20)+D23+D24+D25</f>
        <v/>
      </c>
      <c r="E26" s="3">
        <f>SUM(E15:E20)+E23+E24+E25</f>
        <v/>
      </c>
      <c r="F26" s="3">
        <f>SUM(F15:F20)+F23+F24+F25</f>
        <v/>
      </c>
      <c r="G26" s="3">
        <f>SUM(G15:G20)+G23+G24+G25</f>
        <v/>
      </c>
      <c r="H26" s="3">
        <f>SUM(H15:H20)+H23+H24+H25</f>
        <v/>
      </c>
      <c r="I26" s="3">
        <f>SUM(I15:I20)+I23+I24+I25</f>
        <v/>
      </c>
      <c r="J26" s="3">
        <f>SUM(J15:J20)+J23+J24+J25</f>
        <v/>
      </c>
      <c r="K26" s="3">
        <f>SUM(K15:K20)+K23+K24+K25</f>
        <v/>
      </c>
      <c r="L26" s="3">
        <f>SUM(L15:L20)+L23+L24+L25</f>
        <v/>
      </c>
      <c r="M26" s="3">
        <f>SUM(M15:M20)+M23+M24+M25</f>
        <v/>
      </c>
      <c r="N26" s="3">
        <f>SUM(N15:N20)+N23+N24+N25</f>
        <v/>
      </c>
      <c r="O26" s="3">
        <f>SUM(O15:O20)+O23+O24+O25</f>
        <v/>
      </c>
      <c r="P26" s="3">
        <f>SUM(P15:P20)+P23+P24+P25</f>
        <v/>
      </c>
      <c r="Q26" s="3">
        <f>SUM(Q15:Q20)+Q23+Q24+Q25</f>
        <v/>
      </c>
      <c r="R26" s="3">
        <f>SUM(R15:R20)+R23+R24+R25</f>
        <v/>
      </c>
      <c r="S26" s="3">
        <f>SUM(S15:S20)+S23+S24+S25</f>
        <v/>
      </c>
      <c r="T26" s="3">
        <f>SUM(T15:T20)+T23+T24+T25</f>
        <v/>
      </c>
      <c r="U26" s="3">
        <f>SUM(U15:U20)+U23+U24+U25</f>
        <v/>
      </c>
      <c r="V26" s="3">
        <f>SUM(V15:V20)+V23+V24+V25</f>
        <v/>
      </c>
      <c r="W26" s="3">
        <f>SUM(W15:W20)+W23+W24+W25</f>
        <v/>
      </c>
      <c r="X26" s="3">
        <f>SUM(X15:X20)+X23+X24+X25</f>
        <v/>
      </c>
      <c r="Y26" s="3">
        <f>SUM(Y15:Y20)+Y23+Y24+Y25</f>
        <v/>
      </c>
      <c r="Z26" s="3">
        <f>SUM(Z15:Z20)+Z23+Z24+Z25</f>
        <v/>
      </c>
      <c r="AA26" s="3">
        <f>SUM(AA15:AA20)+AA23+AA24+AA25</f>
        <v/>
      </c>
      <c r="AB26" s="3">
        <f>SUM(AB15:AB20)+AB23+AB24+AB25</f>
        <v/>
      </c>
      <c r="AC26" s="3">
        <f>SUM(AC15:AC20)+AC23+AC24+AC25</f>
        <v/>
      </c>
      <c r="AD26" s="3">
        <f>SUM(AD15:AD20)+AD23+AD24+AD25</f>
        <v/>
      </c>
      <c r="AE26" s="3">
        <f>SUM(AE15:AE20)+AE23+AE24+AE25</f>
        <v/>
      </c>
      <c r="AF26" s="3">
        <f>SUM(AF15:AF20)+AF23+AF24+AF25</f>
        <v/>
      </c>
      <c r="AG26" s="3">
        <f>SUM(AG15:AG20)+AG23+AG24+AG25</f>
        <v/>
      </c>
      <c r="AH26" s="3">
        <f>SUM(AH15:AH20)+AH23+AH24+AH25</f>
        <v/>
      </c>
      <c r="AI26" s="3">
        <f>SUM(AI15:AI20)+AI23+AI24+AI25</f>
        <v/>
      </c>
      <c r="AJ26" s="3">
        <f>SUM(AJ15:AJ20)+AJ23+AJ24+AJ25</f>
        <v/>
      </c>
      <c r="AK26" s="3">
        <f>SUM(AK15:AK20)+AK23+AK24+AK25</f>
        <v/>
      </c>
      <c r="AL26" s="3">
        <f>SUM(AL15:AL20)+AL23+AL24+AL25</f>
        <v/>
      </c>
      <c r="AM26" s="3">
        <f>SUM(AM15:AM20)+AM23+AM24+AM25</f>
        <v/>
      </c>
      <c r="AN26" s="3">
        <f>SUM(AN15:AN20)+AN23+AN24+AN25</f>
        <v/>
      </c>
      <c r="AO26" s="3">
        <f>SUM(AO15:AO20)+AO23+AO24+AO25</f>
        <v/>
      </c>
      <c r="AP26" s="3">
        <f>SUM(AP15:AP20)+AP23+AP24+AP25</f>
        <v/>
      </c>
      <c r="AQ26" s="3">
        <f>SUM(AQ15:AQ20)+AQ23+AQ24+AQ25</f>
        <v/>
      </c>
      <c r="AR26" s="3">
        <f>SUM(AR15:AR20)+AR23+AR24+AR25</f>
        <v/>
      </c>
      <c r="AS26" s="3">
        <f>SUM(AS15:AS20)+AS23+AS24+AS25</f>
        <v/>
      </c>
      <c r="AT26" s="3">
        <f>SUM(AT15:AT20)+AT23+AT24+AT25</f>
        <v/>
      </c>
      <c r="AU26" s="3">
        <f>SUM(AU15:AU20)+AU23+AU24+AU25</f>
        <v/>
      </c>
      <c r="AV26" s="3">
        <f>SUM(AV15:AV20)+AV23+AV24+AV25</f>
        <v/>
      </c>
      <c r="AW26" s="3">
        <f>SUM(AW15:AW20)+AW23+AW24+AW25</f>
        <v/>
      </c>
      <c r="AX26" s="3">
        <f>SUM(AX15:AX20)+AX23+AX24+AX25</f>
        <v/>
      </c>
      <c r="AY26" s="3">
        <f>SUM(AY15:AY20)+AY23+AY24+AY25</f>
        <v/>
      </c>
      <c r="AZ26" s="3">
        <f>SUM(AZ15:AZ20)+AZ23+AZ24+AZ25</f>
        <v/>
      </c>
      <c r="BA26" s="3">
        <f>SUM(BA15:BA20)+BA23+BA24+BA25</f>
        <v/>
      </c>
      <c r="BB26" s="3">
        <f>SUM(BB15:BB20)+BB23+BB24+BB25</f>
        <v/>
      </c>
      <c r="BC26" s="3">
        <f>SUM(BC15:BC20)+BC23+BC24+BC25</f>
        <v/>
      </c>
      <c r="BD26" s="3">
        <f>SUM(BD15:BD20)+BD23+BD24+BD25</f>
        <v/>
      </c>
      <c r="BE26" s="3">
        <f>SUM(BE15:BE20)+BE23+BE24+BE25</f>
        <v/>
      </c>
      <c r="BF26" s="3">
        <f>SUM(BF15:BF20)+BF23+BF24+BF25</f>
        <v/>
      </c>
      <c r="BG26" s="3">
        <f>SUM(BG15:BG20)+BG23+BG24+BG25</f>
        <v/>
      </c>
      <c r="BH26" s="3">
        <f>SUM(BH15:BH20)+BH23+BH24+BH25</f>
        <v/>
      </c>
      <c r="BI26" s="3">
        <f>SUM(BI15:BI20)+BI23+BI24+BI25</f>
        <v/>
      </c>
      <c r="BJ26" s="3">
        <f>SUM(BJ15:BJ20)+BJ23+BJ24+BJ25</f>
        <v/>
      </c>
    </row>
    <row r="27">
      <c r="A27" s="18" t="inlineStr">
        <is>
          <t>EBITDA</t>
        </is>
      </c>
      <c r="C27" s="3">
        <f>C14-C26</f>
        <v/>
      </c>
      <c r="D27" s="3">
        <f>D14-D26</f>
        <v/>
      </c>
      <c r="E27" s="3">
        <f>E14-E26</f>
        <v/>
      </c>
      <c r="F27" s="3">
        <f>F14-F26</f>
        <v/>
      </c>
      <c r="G27" s="3">
        <f>G14-G26</f>
        <v/>
      </c>
      <c r="H27" s="3">
        <f>H14-H26</f>
        <v/>
      </c>
      <c r="I27" s="3">
        <f>I14-I26</f>
        <v/>
      </c>
      <c r="J27" s="3">
        <f>J14-J26</f>
        <v/>
      </c>
      <c r="K27" s="3">
        <f>K14-K26</f>
        <v/>
      </c>
      <c r="L27" s="3">
        <f>L14-L26</f>
        <v/>
      </c>
      <c r="M27" s="3">
        <f>M14-M26</f>
        <v/>
      </c>
      <c r="N27" s="3">
        <f>N14-N26</f>
        <v/>
      </c>
      <c r="O27" s="3">
        <f>O14-O26</f>
        <v/>
      </c>
      <c r="P27" s="3">
        <f>P14-P26</f>
        <v/>
      </c>
      <c r="Q27" s="3">
        <f>Q14-Q26</f>
        <v/>
      </c>
      <c r="R27" s="3">
        <f>R14-R26</f>
        <v/>
      </c>
      <c r="S27" s="3">
        <f>S14-S26</f>
        <v/>
      </c>
      <c r="T27" s="3">
        <f>T14-T26</f>
        <v/>
      </c>
      <c r="U27" s="3">
        <f>U14-U26</f>
        <v/>
      </c>
      <c r="V27" s="3">
        <f>V14-V26</f>
        <v/>
      </c>
      <c r="W27" s="3">
        <f>W14-W26</f>
        <v/>
      </c>
      <c r="X27" s="3">
        <f>X14-X26</f>
        <v/>
      </c>
      <c r="Y27" s="3">
        <f>Y14-Y26</f>
        <v/>
      </c>
      <c r="Z27" s="3">
        <f>Z14-Z26</f>
        <v/>
      </c>
      <c r="AA27" s="3">
        <f>AA14-AA26</f>
        <v/>
      </c>
      <c r="AB27" s="3">
        <f>AB14-AB26</f>
        <v/>
      </c>
      <c r="AC27" s="3">
        <f>AC14-AC26</f>
        <v/>
      </c>
      <c r="AD27" s="3">
        <f>AD14-AD26</f>
        <v/>
      </c>
      <c r="AE27" s="3">
        <f>AE14-AE26</f>
        <v/>
      </c>
      <c r="AF27" s="3">
        <f>AF14-AF26</f>
        <v/>
      </c>
      <c r="AG27" s="3">
        <f>AG14-AG26</f>
        <v/>
      </c>
      <c r="AH27" s="3">
        <f>AH14-AH26</f>
        <v/>
      </c>
      <c r="AI27" s="3">
        <f>AI14-AI26</f>
        <v/>
      </c>
      <c r="AJ27" s="3">
        <f>AJ14-AJ26</f>
        <v/>
      </c>
      <c r="AK27" s="3">
        <f>AK14-AK26</f>
        <v/>
      </c>
      <c r="AL27" s="3">
        <f>AL14-AL26</f>
        <v/>
      </c>
      <c r="AM27" s="3">
        <f>AM14-AM26</f>
        <v/>
      </c>
      <c r="AN27" s="3">
        <f>AN14-AN26</f>
        <v/>
      </c>
      <c r="AO27" s="3">
        <f>AO14-AO26</f>
        <v/>
      </c>
      <c r="AP27" s="3">
        <f>AP14-AP26</f>
        <v/>
      </c>
      <c r="AQ27" s="3">
        <f>AQ14-AQ26</f>
        <v/>
      </c>
      <c r="AR27" s="3">
        <f>AR14-AR26</f>
        <v/>
      </c>
      <c r="AS27" s="3">
        <f>AS14-AS26</f>
        <v/>
      </c>
      <c r="AT27" s="3">
        <f>AT14-AT26</f>
        <v/>
      </c>
      <c r="AU27" s="3">
        <f>AU14-AU26</f>
        <v/>
      </c>
      <c r="AV27" s="3">
        <f>AV14-AV26</f>
        <v/>
      </c>
      <c r="AW27" s="3">
        <f>AW14-AW26</f>
        <v/>
      </c>
      <c r="AX27" s="3">
        <f>AX14-AX26</f>
        <v/>
      </c>
      <c r="AY27" s="3">
        <f>AY14-AY26</f>
        <v/>
      </c>
      <c r="AZ27" s="3">
        <f>AZ14-AZ26</f>
        <v/>
      </c>
      <c r="BA27" s="3">
        <f>BA14-BA26</f>
        <v/>
      </c>
      <c r="BB27" s="3">
        <f>BB14-BB26</f>
        <v/>
      </c>
      <c r="BC27" s="3">
        <f>BC14-BC26</f>
        <v/>
      </c>
      <c r="BD27" s="3">
        <f>BD14-BD26</f>
        <v/>
      </c>
      <c r="BE27" s="3">
        <f>BE14-BE26</f>
        <v/>
      </c>
      <c r="BF27" s="3">
        <f>BF14-BF26</f>
        <v/>
      </c>
      <c r="BG27" s="3">
        <f>BG14-BG26</f>
        <v/>
      </c>
      <c r="BH27" s="3">
        <f>BH14-BH26</f>
        <v/>
      </c>
      <c r="BI27" s="3">
        <f>BI14-BI26</f>
        <v/>
      </c>
      <c r="BJ27" s="3">
        <f>BJ14-BJ26</f>
        <v/>
      </c>
    </row>
    <row r="28">
      <c r="A28" t="inlineStr">
        <is>
          <t>Depreciation</t>
        </is>
      </c>
      <c r="C28" s="3">
        <f>IF(AND(Inputs!$E$88&gt;0,C3&lt;=Inputs!$E$88*12),INDEX(Capex!$C$19:$E$19,1,Inputs!$E$17)/MAX(Inputs!$E$88,1)/12,0)+IF(AND(Inputs!$E$89&gt;0,C3&lt;=Inputs!$E$89*12),INDEX(Capex!$C$20:$E$20,1,Inputs!$E$17)/MAX(Inputs!$E$89,1)/12,0)+IF(AND(Inputs!$E$90&gt;0,C3&lt;=Inputs!$E$90*12),INDEX(Capex!$C$21:$E$21,1,Inputs!$E$17)/MAX(Inputs!$E$90,1)/12,0)+IF(AND(Inputs!$E$91&gt;0,C3&lt;=Inputs!$E$91*12),INDEX(Capex!$C$22:$E$22,1,Inputs!$E$17)/MAX(Inputs!$E$91,1)/12,0)+IF(AND(Inputs!$E$92&gt;0,C3&lt;=Inputs!$E$92*12),INDEX(Capex!$C$23:$E$23,1,Inputs!$E$17)/MAX(Inputs!$E$92,1)/12,0)+IF(AND(Inputs!$E$93&gt;0,C3&lt;=Inputs!$E$93*12),INDEX(Capex!$C$24:$E$24,1,Inputs!$E$17)/MAX(Inputs!$E$93,1)/12,0)+IF(AND(Inputs!$E$94&gt;0,C3&lt;=Inputs!$E$94*12),INDEX(Capex!$C$25:$E$25,1,Inputs!$E$17)/MAX(Inputs!$E$94,1)/12,0)</f>
        <v/>
      </c>
      <c r="D28" s="3">
        <f>IF(AND(Inputs!$E$88&gt;0,D3&lt;=Inputs!$E$88*12),INDEX(Capex!$C$19:$E$19,1,Inputs!$E$17)/MAX(Inputs!$E$88,1)/12,0)+IF(AND(Inputs!$E$89&gt;0,D3&lt;=Inputs!$E$89*12),INDEX(Capex!$C$20:$E$20,1,Inputs!$E$17)/MAX(Inputs!$E$89,1)/12,0)+IF(AND(Inputs!$E$90&gt;0,D3&lt;=Inputs!$E$90*12),INDEX(Capex!$C$21:$E$21,1,Inputs!$E$17)/MAX(Inputs!$E$90,1)/12,0)+IF(AND(Inputs!$E$91&gt;0,D3&lt;=Inputs!$E$91*12),INDEX(Capex!$C$22:$E$22,1,Inputs!$E$17)/MAX(Inputs!$E$91,1)/12,0)+IF(AND(Inputs!$E$92&gt;0,D3&lt;=Inputs!$E$92*12),INDEX(Capex!$C$23:$E$23,1,Inputs!$E$17)/MAX(Inputs!$E$92,1)/12,0)+IF(AND(Inputs!$E$93&gt;0,D3&lt;=Inputs!$E$93*12),INDEX(Capex!$C$24:$E$24,1,Inputs!$E$17)/MAX(Inputs!$E$93,1)/12,0)+IF(AND(Inputs!$E$94&gt;0,D3&lt;=Inputs!$E$94*12),INDEX(Capex!$C$25:$E$25,1,Inputs!$E$17)/MAX(Inputs!$E$94,1)/12,0)</f>
        <v/>
      </c>
      <c r="E28" s="3">
        <f>IF(AND(Inputs!$E$88&gt;0,E3&lt;=Inputs!$E$88*12),INDEX(Capex!$C$19:$E$19,1,Inputs!$E$17)/MAX(Inputs!$E$88,1)/12,0)+IF(AND(Inputs!$E$89&gt;0,E3&lt;=Inputs!$E$89*12),INDEX(Capex!$C$20:$E$20,1,Inputs!$E$17)/MAX(Inputs!$E$89,1)/12,0)+IF(AND(Inputs!$E$90&gt;0,E3&lt;=Inputs!$E$90*12),INDEX(Capex!$C$21:$E$21,1,Inputs!$E$17)/MAX(Inputs!$E$90,1)/12,0)+IF(AND(Inputs!$E$91&gt;0,E3&lt;=Inputs!$E$91*12),INDEX(Capex!$C$22:$E$22,1,Inputs!$E$17)/MAX(Inputs!$E$91,1)/12,0)+IF(AND(Inputs!$E$92&gt;0,E3&lt;=Inputs!$E$92*12),INDEX(Capex!$C$23:$E$23,1,Inputs!$E$17)/MAX(Inputs!$E$92,1)/12,0)+IF(AND(Inputs!$E$93&gt;0,E3&lt;=Inputs!$E$93*12),INDEX(Capex!$C$24:$E$24,1,Inputs!$E$17)/MAX(Inputs!$E$93,1)/12,0)+IF(AND(Inputs!$E$94&gt;0,E3&lt;=Inputs!$E$94*12),INDEX(Capex!$C$25:$E$25,1,Inputs!$E$17)/MAX(Inputs!$E$94,1)/12,0)</f>
        <v/>
      </c>
      <c r="F28" s="3">
        <f>IF(AND(Inputs!$E$88&gt;0,F3&lt;=Inputs!$E$88*12),INDEX(Capex!$C$19:$E$19,1,Inputs!$E$17)/MAX(Inputs!$E$88,1)/12,0)+IF(AND(Inputs!$E$89&gt;0,F3&lt;=Inputs!$E$89*12),INDEX(Capex!$C$20:$E$20,1,Inputs!$E$17)/MAX(Inputs!$E$89,1)/12,0)+IF(AND(Inputs!$E$90&gt;0,F3&lt;=Inputs!$E$90*12),INDEX(Capex!$C$21:$E$21,1,Inputs!$E$17)/MAX(Inputs!$E$90,1)/12,0)+IF(AND(Inputs!$E$91&gt;0,F3&lt;=Inputs!$E$91*12),INDEX(Capex!$C$22:$E$22,1,Inputs!$E$17)/MAX(Inputs!$E$91,1)/12,0)+IF(AND(Inputs!$E$92&gt;0,F3&lt;=Inputs!$E$92*12),INDEX(Capex!$C$23:$E$23,1,Inputs!$E$17)/MAX(Inputs!$E$92,1)/12,0)+IF(AND(Inputs!$E$93&gt;0,F3&lt;=Inputs!$E$93*12),INDEX(Capex!$C$24:$E$24,1,Inputs!$E$17)/MAX(Inputs!$E$93,1)/12,0)+IF(AND(Inputs!$E$94&gt;0,F3&lt;=Inputs!$E$94*12),INDEX(Capex!$C$25:$E$25,1,Inputs!$E$17)/MAX(Inputs!$E$94,1)/12,0)</f>
        <v/>
      </c>
      <c r="G28" s="3">
        <f>IF(AND(Inputs!$E$88&gt;0,G3&lt;=Inputs!$E$88*12),INDEX(Capex!$C$19:$E$19,1,Inputs!$E$17)/MAX(Inputs!$E$88,1)/12,0)+IF(AND(Inputs!$E$89&gt;0,G3&lt;=Inputs!$E$89*12),INDEX(Capex!$C$20:$E$20,1,Inputs!$E$17)/MAX(Inputs!$E$89,1)/12,0)+IF(AND(Inputs!$E$90&gt;0,G3&lt;=Inputs!$E$90*12),INDEX(Capex!$C$21:$E$21,1,Inputs!$E$17)/MAX(Inputs!$E$90,1)/12,0)+IF(AND(Inputs!$E$91&gt;0,G3&lt;=Inputs!$E$91*12),INDEX(Capex!$C$22:$E$22,1,Inputs!$E$17)/MAX(Inputs!$E$91,1)/12,0)+IF(AND(Inputs!$E$92&gt;0,G3&lt;=Inputs!$E$92*12),INDEX(Capex!$C$23:$E$23,1,Inputs!$E$17)/MAX(Inputs!$E$92,1)/12,0)+IF(AND(Inputs!$E$93&gt;0,G3&lt;=Inputs!$E$93*12),INDEX(Capex!$C$24:$E$24,1,Inputs!$E$17)/MAX(Inputs!$E$93,1)/12,0)+IF(AND(Inputs!$E$94&gt;0,G3&lt;=Inputs!$E$94*12),INDEX(Capex!$C$25:$E$25,1,Inputs!$E$17)/MAX(Inputs!$E$94,1)/12,0)</f>
        <v/>
      </c>
      <c r="H28" s="3">
        <f>IF(AND(Inputs!$E$88&gt;0,H3&lt;=Inputs!$E$88*12),INDEX(Capex!$C$19:$E$19,1,Inputs!$E$17)/MAX(Inputs!$E$88,1)/12,0)+IF(AND(Inputs!$E$89&gt;0,H3&lt;=Inputs!$E$89*12),INDEX(Capex!$C$20:$E$20,1,Inputs!$E$17)/MAX(Inputs!$E$89,1)/12,0)+IF(AND(Inputs!$E$90&gt;0,H3&lt;=Inputs!$E$90*12),INDEX(Capex!$C$21:$E$21,1,Inputs!$E$17)/MAX(Inputs!$E$90,1)/12,0)+IF(AND(Inputs!$E$91&gt;0,H3&lt;=Inputs!$E$91*12),INDEX(Capex!$C$22:$E$22,1,Inputs!$E$17)/MAX(Inputs!$E$91,1)/12,0)+IF(AND(Inputs!$E$92&gt;0,H3&lt;=Inputs!$E$92*12),INDEX(Capex!$C$23:$E$23,1,Inputs!$E$17)/MAX(Inputs!$E$92,1)/12,0)+IF(AND(Inputs!$E$93&gt;0,H3&lt;=Inputs!$E$93*12),INDEX(Capex!$C$24:$E$24,1,Inputs!$E$17)/MAX(Inputs!$E$93,1)/12,0)+IF(AND(Inputs!$E$94&gt;0,H3&lt;=Inputs!$E$94*12),INDEX(Capex!$C$25:$E$25,1,Inputs!$E$17)/MAX(Inputs!$E$94,1)/12,0)</f>
        <v/>
      </c>
      <c r="I28" s="3">
        <f>IF(AND(Inputs!$E$88&gt;0,I3&lt;=Inputs!$E$88*12),INDEX(Capex!$C$19:$E$19,1,Inputs!$E$17)/MAX(Inputs!$E$88,1)/12,0)+IF(AND(Inputs!$E$89&gt;0,I3&lt;=Inputs!$E$89*12),INDEX(Capex!$C$20:$E$20,1,Inputs!$E$17)/MAX(Inputs!$E$89,1)/12,0)+IF(AND(Inputs!$E$90&gt;0,I3&lt;=Inputs!$E$90*12),INDEX(Capex!$C$21:$E$21,1,Inputs!$E$17)/MAX(Inputs!$E$90,1)/12,0)+IF(AND(Inputs!$E$91&gt;0,I3&lt;=Inputs!$E$91*12),INDEX(Capex!$C$22:$E$22,1,Inputs!$E$17)/MAX(Inputs!$E$91,1)/12,0)+IF(AND(Inputs!$E$92&gt;0,I3&lt;=Inputs!$E$92*12),INDEX(Capex!$C$23:$E$23,1,Inputs!$E$17)/MAX(Inputs!$E$92,1)/12,0)+IF(AND(Inputs!$E$93&gt;0,I3&lt;=Inputs!$E$93*12),INDEX(Capex!$C$24:$E$24,1,Inputs!$E$17)/MAX(Inputs!$E$93,1)/12,0)+IF(AND(Inputs!$E$94&gt;0,I3&lt;=Inputs!$E$94*12),INDEX(Capex!$C$25:$E$25,1,Inputs!$E$17)/MAX(Inputs!$E$94,1)/12,0)</f>
        <v/>
      </c>
      <c r="J28" s="3">
        <f>IF(AND(Inputs!$E$88&gt;0,J3&lt;=Inputs!$E$88*12),INDEX(Capex!$C$19:$E$19,1,Inputs!$E$17)/MAX(Inputs!$E$88,1)/12,0)+IF(AND(Inputs!$E$89&gt;0,J3&lt;=Inputs!$E$89*12),INDEX(Capex!$C$20:$E$20,1,Inputs!$E$17)/MAX(Inputs!$E$89,1)/12,0)+IF(AND(Inputs!$E$90&gt;0,J3&lt;=Inputs!$E$90*12),INDEX(Capex!$C$21:$E$21,1,Inputs!$E$17)/MAX(Inputs!$E$90,1)/12,0)+IF(AND(Inputs!$E$91&gt;0,J3&lt;=Inputs!$E$91*12),INDEX(Capex!$C$22:$E$22,1,Inputs!$E$17)/MAX(Inputs!$E$91,1)/12,0)+IF(AND(Inputs!$E$92&gt;0,J3&lt;=Inputs!$E$92*12),INDEX(Capex!$C$23:$E$23,1,Inputs!$E$17)/MAX(Inputs!$E$92,1)/12,0)+IF(AND(Inputs!$E$93&gt;0,J3&lt;=Inputs!$E$93*12),INDEX(Capex!$C$24:$E$24,1,Inputs!$E$17)/MAX(Inputs!$E$93,1)/12,0)+IF(AND(Inputs!$E$94&gt;0,J3&lt;=Inputs!$E$94*12),INDEX(Capex!$C$25:$E$25,1,Inputs!$E$17)/MAX(Inputs!$E$94,1)/12,0)</f>
        <v/>
      </c>
      <c r="K28" s="3">
        <f>IF(AND(Inputs!$E$88&gt;0,K3&lt;=Inputs!$E$88*12),INDEX(Capex!$C$19:$E$19,1,Inputs!$E$17)/MAX(Inputs!$E$88,1)/12,0)+IF(AND(Inputs!$E$89&gt;0,K3&lt;=Inputs!$E$89*12),INDEX(Capex!$C$20:$E$20,1,Inputs!$E$17)/MAX(Inputs!$E$89,1)/12,0)+IF(AND(Inputs!$E$90&gt;0,K3&lt;=Inputs!$E$90*12),INDEX(Capex!$C$21:$E$21,1,Inputs!$E$17)/MAX(Inputs!$E$90,1)/12,0)+IF(AND(Inputs!$E$91&gt;0,K3&lt;=Inputs!$E$91*12),INDEX(Capex!$C$22:$E$22,1,Inputs!$E$17)/MAX(Inputs!$E$91,1)/12,0)+IF(AND(Inputs!$E$92&gt;0,K3&lt;=Inputs!$E$92*12),INDEX(Capex!$C$23:$E$23,1,Inputs!$E$17)/MAX(Inputs!$E$92,1)/12,0)+IF(AND(Inputs!$E$93&gt;0,K3&lt;=Inputs!$E$93*12),INDEX(Capex!$C$24:$E$24,1,Inputs!$E$17)/MAX(Inputs!$E$93,1)/12,0)+IF(AND(Inputs!$E$94&gt;0,K3&lt;=Inputs!$E$94*12),INDEX(Capex!$C$25:$E$25,1,Inputs!$E$17)/MAX(Inputs!$E$94,1)/12,0)</f>
        <v/>
      </c>
      <c r="L28" s="3">
        <f>IF(AND(Inputs!$E$88&gt;0,L3&lt;=Inputs!$E$88*12),INDEX(Capex!$C$19:$E$19,1,Inputs!$E$17)/MAX(Inputs!$E$88,1)/12,0)+IF(AND(Inputs!$E$89&gt;0,L3&lt;=Inputs!$E$89*12),INDEX(Capex!$C$20:$E$20,1,Inputs!$E$17)/MAX(Inputs!$E$89,1)/12,0)+IF(AND(Inputs!$E$90&gt;0,L3&lt;=Inputs!$E$90*12),INDEX(Capex!$C$21:$E$21,1,Inputs!$E$17)/MAX(Inputs!$E$90,1)/12,0)+IF(AND(Inputs!$E$91&gt;0,L3&lt;=Inputs!$E$91*12),INDEX(Capex!$C$22:$E$22,1,Inputs!$E$17)/MAX(Inputs!$E$91,1)/12,0)+IF(AND(Inputs!$E$92&gt;0,L3&lt;=Inputs!$E$92*12),INDEX(Capex!$C$23:$E$23,1,Inputs!$E$17)/MAX(Inputs!$E$92,1)/12,0)+IF(AND(Inputs!$E$93&gt;0,L3&lt;=Inputs!$E$93*12),INDEX(Capex!$C$24:$E$24,1,Inputs!$E$17)/MAX(Inputs!$E$93,1)/12,0)+IF(AND(Inputs!$E$94&gt;0,L3&lt;=Inputs!$E$94*12),INDEX(Capex!$C$25:$E$25,1,Inputs!$E$17)/MAX(Inputs!$E$94,1)/12,0)</f>
        <v/>
      </c>
      <c r="M28" s="3">
        <f>IF(AND(Inputs!$E$88&gt;0,M3&lt;=Inputs!$E$88*12),INDEX(Capex!$C$19:$E$19,1,Inputs!$E$17)/MAX(Inputs!$E$88,1)/12,0)+IF(AND(Inputs!$E$89&gt;0,M3&lt;=Inputs!$E$89*12),INDEX(Capex!$C$20:$E$20,1,Inputs!$E$17)/MAX(Inputs!$E$89,1)/12,0)+IF(AND(Inputs!$E$90&gt;0,M3&lt;=Inputs!$E$90*12),INDEX(Capex!$C$21:$E$21,1,Inputs!$E$17)/MAX(Inputs!$E$90,1)/12,0)+IF(AND(Inputs!$E$91&gt;0,M3&lt;=Inputs!$E$91*12),INDEX(Capex!$C$22:$E$22,1,Inputs!$E$17)/MAX(Inputs!$E$91,1)/12,0)+IF(AND(Inputs!$E$92&gt;0,M3&lt;=Inputs!$E$92*12),INDEX(Capex!$C$23:$E$23,1,Inputs!$E$17)/MAX(Inputs!$E$92,1)/12,0)+IF(AND(Inputs!$E$93&gt;0,M3&lt;=Inputs!$E$93*12),INDEX(Capex!$C$24:$E$24,1,Inputs!$E$17)/MAX(Inputs!$E$93,1)/12,0)+IF(AND(Inputs!$E$94&gt;0,M3&lt;=Inputs!$E$94*12),INDEX(Capex!$C$25:$E$25,1,Inputs!$E$17)/MAX(Inputs!$E$94,1)/12,0)</f>
        <v/>
      </c>
      <c r="N28" s="3">
        <f>IF(AND(Inputs!$E$88&gt;0,N3&lt;=Inputs!$E$88*12),INDEX(Capex!$C$19:$E$19,1,Inputs!$E$17)/MAX(Inputs!$E$88,1)/12,0)+IF(AND(Inputs!$E$89&gt;0,N3&lt;=Inputs!$E$89*12),INDEX(Capex!$C$20:$E$20,1,Inputs!$E$17)/MAX(Inputs!$E$89,1)/12,0)+IF(AND(Inputs!$E$90&gt;0,N3&lt;=Inputs!$E$90*12),INDEX(Capex!$C$21:$E$21,1,Inputs!$E$17)/MAX(Inputs!$E$90,1)/12,0)+IF(AND(Inputs!$E$91&gt;0,N3&lt;=Inputs!$E$91*12),INDEX(Capex!$C$22:$E$22,1,Inputs!$E$17)/MAX(Inputs!$E$91,1)/12,0)+IF(AND(Inputs!$E$92&gt;0,N3&lt;=Inputs!$E$92*12),INDEX(Capex!$C$23:$E$23,1,Inputs!$E$17)/MAX(Inputs!$E$92,1)/12,0)+IF(AND(Inputs!$E$93&gt;0,N3&lt;=Inputs!$E$93*12),INDEX(Capex!$C$24:$E$24,1,Inputs!$E$17)/MAX(Inputs!$E$93,1)/12,0)+IF(AND(Inputs!$E$94&gt;0,N3&lt;=Inputs!$E$94*12),INDEX(Capex!$C$25:$E$25,1,Inputs!$E$17)/MAX(Inputs!$E$94,1)/12,0)</f>
        <v/>
      </c>
      <c r="O28" s="3">
        <f>IF(AND(Inputs!$E$88&gt;0,O3&lt;=Inputs!$E$88*12),INDEX(Capex!$C$19:$E$19,1,Inputs!$E$17)/MAX(Inputs!$E$88,1)/12,0)+IF(AND(Inputs!$E$89&gt;0,O3&lt;=Inputs!$E$89*12),INDEX(Capex!$C$20:$E$20,1,Inputs!$E$17)/MAX(Inputs!$E$89,1)/12,0)+IF(AND(Inputs!$E$90&gt;0,O3&lt;=Inputs!$E$90*12),INDEX(Capex!$C$21:$E$21,1,Inputs!$E$17)/MAX(Inputs!$E$90,1)/12,0)+IF(AND(Inputs!$E$91&gt;0,O3&lt;=Inputs!$E$91*12),INDEX(Capex!$C$22:$E$22,1,Inputs!$E$17)/MAX(Inputs!$E$91,1)/12,0)+IF(AND(Inputs!$E$92&gt;0,O3&lt;=Inputs!$E$92*12),INDEX(Capex!$C$23:$E$23,1,Inputs!$E$17)/MAX(Inputs!$E$92,1)/12,0)+IF(AND(Inputs!$E$93&gt;0,O3&lt;=Inputs!$E$93*12),INDEX(Capex!$C$24:$E$24,1,Inputs!$E$17)/MAX(Inputs!$E$93,1)/12,0)+IF(AND(Inputs!$E$94&gt;0,O3&lt;=Inputs!$E$94*12),INDEX(Capex!$C$25:$E$25,1,Inputs!$E$17)/MAX(Inputs!$E$94,1)/12,0)</f>
        <v/>
      </c>
      <c r="P28" s="3">
        <f>IF(AND(Inputs!$E$88&gt;0,P3&lt;=Inputs!$E$88*12),INDEX(Capex!$C$19:$E$19,1,Inputs!$E$17)/MAX(Inputs!$E$88,1)/12,0)+IF(AND(Inputs!$E$89&gt;0,P3&lt;=Inputs!$E$89*12),INDEX(Capex!$C$20:$E$20,1,Inputs!$E$17)/MAX(Inputs!$E$89,1)/12,0)+IF(AND(Inputs!$E$90&gt;0,P3&lt;=Inputs!$E$90*12),INDEX(Capex!$C$21:$E$21,1,Inputs!$E$17)/MAX(Inputs!$E$90,1)/12,0)+IF(AND(Inputs!$E$91&gt;0,P3&lt;=Inputs!$E$91*12),INDEX(Capex!$C$22:$E$22,1,Inputs!$E$17)/MAX(Inputs!$E$91,1)/12,0)+IF(AND(Inputs!$E$92&gt;0,P3&lt;=Inputs!$E$92*12),INDEX(Capex!$C$23:$E$23,1,Inputs!$E$17)/MAX(Inputs!$E$92,1)/12,0)+IF(AND(Inputs!$E$93&gt;0,P3&lt;=Inputs!$E$93*12),INDEX(Capex!$C$24:$E$24,1,Inputs!$E$17)/MAX(Inputs!$E$93,1)/12,0)+IF(AND(Inputs!$E$94&gt;0,P3&lt;=Inputs!$E$94*12),INDEX(Capex!$C$25:$E$25,1,Inputs!$E$17)/MAX(Inputs!$E$94,1)/12,0)</f>
        <v/>
      </c>
      <c r="Q28" s="3">
        <f>IF(AND(Inputs!$E$88&gt;0,Q3&lt;=Inputs!$E$88*12),INDEX(Capex!$C$19:$E$19,1,Inputs!$E$17)/MAX(Inputs!$E$88,1)/12,0)+IF(AND(Inputs!$E$89&gt;0,Q3&lt;=Inputs!$E$89*12),INDEX(Capex!$C$20:$E$20,1,Inputs!$E$17)/MAX(Inputs!$E$89,1)/12,0)+IF(AND(Inputs!$E$90&gt;0,Q3&lt;=Inputs!$E$90*12),INDEX(Capex!$C$21:$E$21,1,Inputs!$E$17)/MAX(Inputs!$E$90,1)/12,0)+IF(AND(Inputs!$E$91&gt;0,Q3&lt;=Inputs!$E$91*12),INDEX(Capex!$C$22:$E$22,1,Inputs!$E$17)/MAX(Inputs!$E$91,1)/12,0)+IF(AND(Inputs!$E$92&gt;0,Q3&lt;=Inputs!$E$92*12),INDEX(Capex!$C$23:$E$23,1,Inputs!$E$17)/MAX(Inputs!$E$92,1)/12,0)+IF(AND(Inputs!$E$93&gt;0,Q3&lt;=Inputs!$E$93*12),INDEX(Capex!$C$24:$E$24,1,Inputs!$E$17)/MAX(Inputs!$E$93,1)/12,0)+IF(AND(Inputs!$E$94&gt;0,Q3&lt;=Inputs!$E$94*12),INDEX(Capex!$C$25:$E$25,1,Inputs!$E$17)/MAX(Inputs!$E$94,1)/12,0)</f>
        <v/>
      </c>
      <c r="R28" s="3">
        <f>IF(AND(Inputs!$E$88&gt;0,R3&lt;=Inputs!$E$88*12),INDEX(Capex!$C$19:$E$19,1,Inputs!$E$17)/MAX(Inputs!$E$88,1)/12,0)+IF(AND(Inputs!$E$89&gt;0,R3&lt;=Inputs!$E$89*12),INDEX(Capex!$C$20:$E$20,1,Inputs!$E$17)/MAX(Inputs!$E$89,1)/12,0)+IF(AND(Inputs!$E$90&gt;0,R3&lt;=Inputs!$E$90*12),INDEX(Capex!$C$21:$E$21,1,Inputs!$E$17)/MAX(Inputs!$E$90,1)/12,0)+IF(AND(Inputs!$E$91&gt;0,R3&lt;=Inputs!$E$91*12),INDEX(Capex!$C$22:$E$22,1,Inputs!$E$17)/MAX(Inputs!$E$91,1)/12,0)+IF(AND(Inputs!$E$92&gt;0,R3&lt;=Inputs!$E$92*12),INDEX(Capex!$C$23:$E$23,1,Inputs!$E$17)/MAX(Inputs!$E$92,1)/12,0)+IF(AND(Inputs!$E$93&gt;0,R3&lt;=Inputs!$E$93*12),INDEX(Capex!$C$24:$E$24,1,Inputs!$E$17)/MAX(Inputs!$E$93,1)/12,0)+IF(AND(Inputs!$E$94&gt;0,R3&lt;=Inputs!$E$94*12),INDEX(Capex!$C$25:$E$25,1,Inputs!$E$17)/MAX(Inputs!$E$94,1)/12,0)</f>
        <v/>
      </c>
      <c r="S28" s="3">
        <f>IF(AND(Inputs!$E$88&gt;0,S3&lt;=Inputs!$E$88*12),INDEX(Capex!$C$19:$E$19,1,Inputs!$E$17)/MAX(Inputs!$E$88,1)/12,0)+IF(AND(Inputs!$E$89&gt;0,S3&lt;=Inputs!$E$89*12),INDEX(Capex!$C$20:$E$20,1,Inputs!$E$17)/MAX(Inputs!$E$89,1)/12,0)+IF(AND(Inputs!$E$90&gt;0,S3&lt;=Inputs!$E$90*12),INDEX(Capex!$C$21:$E$21,1,Inputs!$E$17)/MAX(Inputs!$E$90,1)/12,0)+IF(AND(Inputs!$E$91&gt;0,S3&lt;=Inputs!$E$91*12),INDEX(Capex!$C$22:$E$22,1,Inputs!$E$17)/MAX(Inputs!$E$91,1)/12,0)+IF(AND(Inputs!$E$92&gt;0,S3&lt;=Inputs!$E$92*12),INDEX(Capex!$C$23:$E$23,1,Inputs!$E$17)/MAX(Inputs!$E$92,1)/12,0)+IF(AND(Inputs!$E$93&gt;0,S3&lt;=Inputs!$E$93*12),INDEX(Capex!$C$24:$E$24,1,Inputs!$E$17)/MAX(Inputs!$E$93,1)/12,0)+IF(AND(Inputs!$E$94&gt;0,S3&lt;=Inputs!$E$94*12),INDEX(Capex!$C$25:$E$25,1,Inputs!$E$17)/MAX(Inputs!$E$94,1)/12,0)</f>
        <v/>
      </c>
      <c r="T28" s="3">
        <f>IF(AND(Inputs!$E$88&gt;0,T3&lt;=Inputs!$E$88*12),INDEX(Capex!$C$19:$E$19,1,Inputs!$E$17)/MAX(Inputs!$E$88,1)/12,0)+IF(AND(Inputs!$E$89&gt;0,T3&lt;=Inputs!$E$89*12),INDEX(Capex!$C$20:$E$20,1,Inputs!$E$17)/MAX(Inputs!$E$89,1)/12,0)+IF(AND(Inputs!$E$90&gt;0,T3&lt;=Inputs!$E$90*12),INDEX(Capex!$C$21:$E$21,1,Inputs!$E$17)/MAX(Inputs!$E$90,1)/12,0)+IF(AND(Inputs!$E$91&gt;0,T3&lt;=Inputs!$E$91*12),INDEX(Capex!$C$22:$E$22,1,Inputs!$E$17)/MAX(Inputs!$E$91,1)/12,0)+IF(AND(Inputs!$E$92&gt;0,T3&lt;=Inputs!$E$92*12),INDEX(Capex!$C$23:$E$23,1,Inputs!$E$17)/MAX(Inputs!$E$92,1)/12,0)+IF(AND(Inputs!$E$93&gt;0,T3&lt;=Inputs!$E$93*12),INDEX(Capex!$C$24:$E$24,1,Inputs!$E$17)/MAX(Inputs!$E$93,1)/12,0)+IF(AND(Inputs!$E$94&gt;0,T3&lt;=Inputs!$E$94*12),INDEX(Capex!$C$25:$E$25,1,Inputs!$E$17)/MAX(Inputs!$E$94,1)/12,0)</f>
        <v/>
      </c>
      <c r="U28" s="3">
        <f>IF(AND(Inputs!$E$88&gt;0,U3&lt;=Inputs!$E$88*12),INDEX(Capex!$C$19:$E$19,1,Inputs!$E$17)/MAX(Inputs!$E$88,1)/12,0)+IF(AND(Inputs!$E$89&gt;0,U3&lt;=Inputs!$E$89*12),INDEX(Capex!$C$20:$E$20,1,Inputs!$E$17)/MAX(Inputs!$E$89,1)/12,0)+IF(AND(Inputs!$E$90&gt;0,U3&lt;=Inputs!$E$90*12),INDEX(Capex!$C$21:$E$21,1,Inputs!$E$17)/MAX(Inputs!$E$90,1)/12,0)+IF(AND(Inputs!$E$91&gt;0,U3&lt;=Inputs!$E$91*12),INDEX(Capex!$C$22:$E$22,1,Inputs!$E$17)/MAX(Inputs!$E$91,1)/12,0)+IF(AND(Inputs!$E$92&gt;0,U3&lt;=Inputs!$E$92*12),INDEX(Capex!$C$23:$E$23,1,Inputs!$E$17)/MAX(Inputs!$E$92,1)/12,0)+IF(AND(Inputs!$E$93&gt;0,U3&lt;=Inputs!$E$93*12),INDEX(Capex!$C$24:$E$24,1,Inputs!$E$17)/MAX(Inputs!$E$93,1)/12,0)+IF(AND(Inputs!$E$94&gt;0,U3&lt;=Inputs!$E$94*12),INDEX(Capex!$C$25:$E$25,1,Inputs!$E$17)/MAX(Inputs!$E$94,1)/12,0)</f>
        <v/>
      </c>
      <c r="V28" s="3">
        <f>IF(AND(Inputs!$E$88&gt;0,V3&lt;=Inputs!$E$88*12),INDEX(Capex!$C$19:$E$19,1,Inputs!$E$17)/MAX(Inputs!$E$88,1)/12,0)+IF(AND(Inputs!$E$89&gt;0,V3&lt;=Inputs!$E$89*12),INDEX(Capex!$C$20:$E$20,1,Inputs!$E$17)/MAX(Inputs!$E$89,1)/12,0)+IF(AND(Inputs!$E$90&gt;0,V3&lt;=Inputs!$E$90*12),INDEX(Capex!$C$21:$E$21,1,Inputs!$E$17)/MAX(Inputs!$E$90,1)/12,0)+IF(AND(Inputs!$E$91&gt;0,V3&lt;=Inputs!$E$91*12),INDEX(Capex!$C$22:$E$22,1,Inputs!$E$17)/MAX(Inputs!$E$91,1)/12,0)+IF(AND(Inputs!$E$92&gt;0,V3&lt;=Inputs!$E$92*12),INDEX(Capex!$C$23:$E$23,1,Inputs!$E$17)/MAX(Inputs!$E$92,1)/12,0)+IF(AND(Inputs!$E$93&gt;0,V3&lt;=Inputs!$E$93*12),INDEX(Capex!$C$24:$E$24,1,Inputs!$E$17)/MAX(Inputs!$E$93,1)/12,0)+IF(AND(Inputs!$E$94&gt;0,V3&lt;=Inputs!$E$94*12),INDEX(Capex!$C$25:$E$25,1,Inputs!$E$17)/MAX(Inputs!$E$94,1)/12,0)</f>
        <v/>
      </c>
      <c r="W28" s="3">
        <f>IF(AND(Inputs!$E$88&gt;0,W3&lt;=Inputs!$E$88*12),INDEX(Capex!$C$19:$E$19,1,Inputs!$E$17)/MAX(Inputs!$E$88,1)/12,0)+IF(AND(Inputs!$E$89&gt;0,W3&lt;=Inputs!$E$89*12),INDEX(Capex!$C$20:$E$20,1,Inputs!$E$17)/MAX(Inputs!$E$89,1)/12,0)+IF(AND(Inputs!$E$90&gt;0,W3&lt;=Inputs!$E$90*12),INDEX(Capex!$C$21:$E$21,1,Inputs!$E$17)/MAX(Inputs!$E$90,1)/12,0)+IF(AND(Inputs!$E$91&gt;0,W3&lt;=Inputs!$E$91*12),INDEX(Capex!$C$22:$E$22,1,Inputs!$E$17)/MAX(Inputs!$E$91,1)/12,0)+IF(AND(Inputs!$E$92&gt;0,W3&lt;=Inputs!$E$92*12),INDEX(Capex!$C$23:$E$23,1,Inputs!$E$17)/MAX(Inputs!$E$92,1)/12,0)+IF(AND(Inputs!$E$93&gt;0,W3&lt;=Inputs!$E$93*12),INDEX(Capex!$C$24:$E$24,1,Inputs!$E$17)/MAX(Inputs!$E$93,1)/12,0)+IF(AND(Inputs!$E$94&gt;0,W3&lt;=Inputs!$E$94*12),INDEX(Capex!$C$25:$E$25,1,Inputs!$E$17)/MAX(Inputs!$E$94,1)/12,0)</f>
        <v/>
      </c>
      <c r="X28" s="3">
        <f>IF(AND(Inputs!$E$88&gt;0,X3&lt;=Inputs!$E$88*12),INDEX(Capex!$C$19:$E$19,1,Inputs!$E$17)/MAX(Inputs!$E$88,1)/12,0)+IF(AND(Inputs!$E$89&gt;0,X3&lt;=Inputs!$E$89*12),INDEX(Capex!$C$20:$E$20,1,Inputs!$E$17)/MAX(Inputs!$E$89,1)/12,0)+IF(AND(Inputs!$E$90&gt;0,X3&lt;=Inputs!$E$90*12),INDEX(Capex!$C$21:$E$21,1,Inputs!$E$17)/MAX(Inputs!$E$90,1)/12,0)+IF(AND(Inputs!$E$91&gt;0,X3&lt;=Inputs!$E$91*12),INDEX(Capex!$C$22:$E$22,1,Inputs!$E$17)/MAX(Inputs!$E$91,1)/12,0)+IF(AND(Inputs!$E$92&gt;0,X3&lt;=Inputs!$E$92*12),INDEX(Capex!$C$23:$E$23,1,Inputs!$E$17)/MAX(Inputs!$E$92,1)/12,0)+IF(AND(Inputs!$E$93&gt;0,X3&lt;=Inputs!$E$93*12),INDEX(Capex!$C$24:$E$24,1,Inputs!$E$17)/MAX(Inputs!$E$93,1)/12,0)+IF(AND(Inputs!$E$94&gt;0,X3&lt;=Inputs!$E$94*12),INDEX(Capex!$C$25:$E$25,1,Inputs!$E$17)/MAX(Inputs!$E$94,1)/12,0)</f>
        <v/>
      </c>
      <c r="Y28" s="3">
        <f>IF(AND(Inputs!$E$88&gt;0,Y3&lt;=Inputs!$E$88*12),INDEX(Capex!$C$19:$E$19,1,Inputs!$E$17)/MAX(Inputs!$E$88,1)/12,0)+IF(AND(Inputs!$E$89&gt;0,Y3&lt;=Inputs!$E$89*12),INDEX(Capex!$C$20:$E$20,1,Inputs!$E$17)/MAX(Inputs!$E$89,1)/12,0)+IF(AND(Inputs!$E$90&gt;0,Y3&lt;=Inputs!$E$90*12),INDEX(Capex!$C$21:$E$21,1,Inputs!$E$17)/MAX(Inputs!$E$90,1)/12,0)+IF(AND(Inputs!$E$91&gt;0,Y3&lt;=Inputs!$E$91*12),INDEX(Capex!$C$22:$E$22,1,Inputs!$E$17)/MAX(Inputs!$E$91,1)/12,0)+IF(AND(Inputs!$E$92&gt;0,Y3&lt;=Inputs!$E$92*12),INDEX(Capex!$C$23:$E$23,1,Inputs!$E$17)/MAX(Inputs!$E$92,1)/12,0)+IF(AND(Inputs!$E$93&gt;0,Y3&lt;=Inputs!$E$93*12),INDEX(Capex!$C$24:$E$24,1,Inputs!$E$17)/MAX(Inputs!$E$93,1)/12,0)+IF(AND(Inputs!$E$94&gt;0,Y3&lt;=Inputs!$E$94*12),INDEX(Capex!$C$25:$E$25,1,Inputs!$E$17)/MAX(Inputs!$E$94,1)/12,0)</f>
        <v/>
      </c>
      <c r="Z28" s="3">
        <f>IF(AND(Inputs!$E$88&gt;0,Z3&lt;=Inputs!$E$88*12),INDEX(Capex!$C$19:$E$19,1,Inputs!$E$17)/MAX(Inputs!$E$88,1)/12,0)+IF(AND(Inputs!$E$89&gt;0,Z3&lt;=Inputs!$E$89*12),INDEX(Capex!$C$20:$E$20,1,Inputs!$E$17)/MAX(Inputs!$E$89,1)/12,0)+IF(AND(Inputs!$E$90&gt;0,Z3&lt;=Inputs!$E$90*12),INDEX(Capex!$C$21:$E$21,1,Inputs!$E$17)/MAX(Inputs!$E$90,1)/12,0)+IF(AND(Inputs!$E$91&gt;0,Z3&lt;=Inputs!$E$91*12),INDEX(Capex!$C$22:$E$22,1,Inputs!$E$17)/MAX(Inputs!$E$91,1)/12,0)+IF(AND(Inputs!$E$92&gt;0,Z3&lt;=Inputs!$E$92*12),INDEX(Capex!$C$23:$E$23,1,Inputs!$E$17)/MAX(Inputs!$E$92,1)/12,0)+IF(AND(Inputs!$E$93&gt;0,Z3&lt;=Inputs!$E$93*12),INDEX(Capex!$C$24:$E$24,1,Inputs!$E$17)/MAX(Inputs!$E$93,1)/12,0)+IF(AND(Inputs!$E$94&gt;0,Z3&lt;=Inputs!$E$94*12),INDEX(Capex!$C$25:$E$25,1,Inputs!$E$17)/MAX(Inputs!$E$94,1)/12,0)</f>
        <v/>
      </c>
      <c r="AA28" s="3">
        <f>IF(AND(Inputs!$E$88&gt;0,AA3&lt;=Inputs!$E$88*12),INDEX(Capex!$C$19:$E$19,1,Inputs!$E$17)/MAX(Inputs!$E$88,1)/12,0)+IF(AND(Inputs!$E$89&gt;0,AA3&lt;=Inputs!$E$89*12),INDEX(Capex!$C$20:$E$20,1,Inputs!$E$17)/MAX(Inputs!$E$89,1)/12,0)+IF(AND(Inputs!$E$90&gt;0,AA3&lt;=Inputs!$E$90*12),INDEX(Capex!$C$21:$E$21,1,Inputs!$E$17)/MAX(Inputs!$E$90,1)/12,0)+IF(AND(Inputs!$E$91&gt;0,AA3&lt;=Inputs!$E$91*12),INDEX(Capex!$C$22:$E$22,1,Inputs!$E$17)/MAX(Inputs!$E$91,1)/12,0)+IF(AND(Inputs!$E$92&gt;0,AA3&lt;=Inputs!$E$92*12),INDEX(Capex!$C$23:$E$23,1,Inputs!$E$17)/MAX(Inputs!$E$92,1)/12,0)+IF(AND(Inputs!$E$93&gt;0,AA3&lt;=Inputs!$E$93*12),INDEX(Capex!$C$24:$E$24,1,Inputs!$E$17)/MAX(Inputs!$E$93,1)/12,0)+IF(AND(Inputs!$E$94&gt;0,AA3&lt;=Inputs!$E$94*12),INDEX(Capex!$C$25:$E$25,1,Inputs!$E$17)/MAX(Inputs!$E$94,1)/12,0)</f>
        <v/>
      </c>
      <c r="AB28" s="3">
        <f>IF(AND(Inputs!$E$88&gt;0,AB3&lt;=Inputs!$E$88*12),INDEX(Capex!$C$19:$E$19,1,Inputs!$E$17)/MAX(Inputs!$E$88,1)/12,0)+IF(AND(Inputs!$E$89&gt;0,AB3&lt;=Inputs!$E$89*12),INDEX(Capex!$C$20:$E$20,1,Inputs!$E$17)/MAX(Inputs!$E$89,1)/12,0)+IF(AND(Inputs!$E$90&gt;0,AB3&lt;=Inputs!$E$90*12),INDEX(Capex!$C$21:$E$21,1,Inputs!$E$17)/MAX(Inputs!$E$90,1)/12,0)+IF(AND(Inputs!$E$91&gt;0,AB3&lt;=Inputs!$E$91*12),INDEX(Capex!$C$22:$E$22,1,Inputs!$E$17)/MAX(Inputs!$E$91,1)/12,0)+IF(AND(Inputs!$E$92&gt;0,AB3&lt;=Inputs!$E$92*12),INDEX(Capex!$C$23:$E$23,1,Inputs!$E$17)/MAX(Inputs!$E$92,1)/12,0)+IF(AND(Inputs!$E$93&gt;0,AB3&lt;=Inputs!$E$93*12),INDEX(Capex!$C$24:$E$24,1,Inputs!$E$17)/MAX(Inputs!$E$93,1)/12,0)+IF(AND(Inputs!$E$94&gt;0,AB3&lt;=Inputs!$E$94*12),INDEX(Capex!$C$25:$E$25,1,Inputs!$E$17)/MAX(Inputs!$E$94,1)/12,0)</f>
        <v/>
      </c>
      <c r="AC28" s="3">
        <f>IF(AND(Inputs!$E$88&gt;0,AC3&lt;=Inputs!$E$88*12),INDEX(Capex!$C$19:$E$19,1,Inputs!$E$17)/MAX(Inputs!$E$88,1)/12,0)+IF(AND(Inputs!$E$89&gt;0,AC3&lt;=Inputs!$E$89*12),INDEX(Capex!$C$20:$E$20,1,Inputs!$E$17)/MAX(Inputs!$E$89,1)/12,0)+IF(AND(Inputs!$E$90&gt;0,AC3&lt;=Inputs!$E$90*12),INDEX(Capex!$C$21:$E$21,1,Inputs!$E$17)/MAX(Inputs!$E$90,1)/12,0)+IF(AND(Inputs!$E$91&gt;0,AC3&lt;=Inputs!$E$91*12),INDEX(Capex!$C$22:$E$22,1,Inputs!$E$17)/MAX(Inputs!$E$91,1)/12,0)+IF(AND(Inputs!$E$92&gt;0,AC3&lt;=Inputs!$E$92*12),INDEX(Capex!$C$23:$E$23,1,Inputs!$E$17)/MAX(Inputs!$E$92,1)/12,0)+IF(AND(Inputs!$E$93&gt;0,AC3&lt;=Inputs!$E$93*12),INDEX(Capex!$C$24:$E$24,1,Inputs!$E$17)/MAX(Inputs!$E$93,1)/12,0)+IF(AND(Inputs!$E$94&gt;0,AC3&lt;=Inputs!$E$94*12),INDEX(Capex!$C$25:$E$25,1,Inputs!$E$17)/MAX(Inputs!$E$94,1)/12,0)</f>
        <v/>
      </c>
      <c r="AD28" s="3">
        <f>IF(AND(Inputs!$E$88&gt;0,AD3&lt;=Inputs!$E$88*12),INDEX(Capex!$C$19:$E$19,1,Inputs!$E$17)/MAX(Inputs!$E$88,1)/12,0)+IF(AND(Inputs!$E$89&gt;0,AD3&lt;=Inputs!$E$89*12),INDEX(Capex!$C$20:$E$20,1,Inputs!$E$17)/MAX(Inputs!$E$89,1)/12,0)+IF(AND(Inputs!$E$90&gt;0,AD3&lt;=Inputs!$E$90*12),INDEX(Capex!$C$21:$E$21,1,Inputs!$E$17)/MAX(Inputs!$E$90,1)/12,0)+IF(AND(Inputs!$E$91&gt;0,AD3&lt;=Inputs!$E$91*12),INDEX(Capex!$C$22:$E$22,1,Inputs!$E$17)/MAX(Inputs!$E$91,1)/12,0)+IF(AND(Inputs!$E$92&gt;0,AD3&lt;=Inputs!$E$92*12),INDEX(Capex!$C$23:$E$23,1,Inputs!$E$17)/MAX(Inputs!$E$92,1)/12,0)+IF(AND(Inputs!$E$93&gt;0,AD3&lt;=Inputs!$E$93*12),INDEX(Capex!$C$24:$E$24,1,Inputs!$E$17)/MAX(Inputs!$E$93,1)/12,0)+IF(AND(Inputs!$E$94&gt;0,AD3&lt;=Inputs!$E$94*12),INDEX(Capex!$C$25:$E$25,1,Inputs!$E$17)/MAX(Inputs!$E$94,1)/12,0)</f>
        <v/>
      </c>
      <c r="AE28" s="3">
        <f>IF(AND(Inputs!$E$88&gt;0,AE3&lt;=Inputs!$E$88*12),INDEX(Capex!$C$19:$E$19,1,Inputs!$E$17)/MAX(Inputs!$E$88,1)/12,0)+IF(AND(Inputs!$E$89&gt;0,AE3&lt;=Inputs!$E$89*12),INDEX(Capex!$C$20:$E$20,1,Inputs!$E$17)/MAX(Inputs!$E$89,1)/12,0)+IF(AND(Inputs!$E$90&gt;0,AE3&lt;=Inputs!$E$90*12),INDEX(Capex!$C$21:$E$21,1,Inputs!$E$17)/MAX(Inputs!$E$90,1)/12,0)+IF(AND(Inputs!$E$91&gt;0,AE3&lt;=Inputs!$E$91*12),INDEX(Capex!$C$22:$E$22,1,Inputs!$E$17)/MAX(Inputs!$E$91,1)/12,0)+IF(AND(Inputs!$E$92&gt;0,AE3&lt;=Inputs!$E$92*12),INDEX(Capex!$C$23:$E$23,1,Inputs!$E$17)/MAX(Inputs!$E$92,1)/12,0)+IF(AND(Inputs!$E$93&gt;0,AE3&lt;=Inputs!$E$93*12),INDEX(Capex!$C$24:$E$24,1,Inputs!$E$17)/MAX(Inputs!$E$93,1)/12,0)+IF(AND(Inputs!$E$94&gt;0,AE3&lt;=Inputs!$E$94*12),INDEX(Capex!$C$25:$E$25,1,Inputs!$E$17)/MAX(Inputs!$E$94,1)/12,0)</f>
        <v/>
      </c>
      <c r="AF28" s="3">
        <f>IF(AND(Inputs!$E$88&gt;0,AF3&lt;=Inputs!$E$88*12),INDEX(Capex!$C$19:$E$19,1,Inputs!$E$17)/MAX(Inputs!$E$88,1)/12,0)+IF(AND(Inputs!$E$89&gt;0,AF3&lt;=Inputs!$E$89*12),INDEX(Capex!$C$20:$E$20,1,Inputs!$E$17)/MAX(Inputs!$E$89,1)/12,0)+IF(AND(Inputs!$E$90&gt;0,AF3&lt;=Inputs!$E$90*12),INDEX(Capex!$C$21:$E$21,1,Inputs!$E$17)/MAX(Inputs!$E$90,1)/12,0)+IF(AND(Inputs!$E$91&gt;0,AF3&lt;=Inputs!$E$91*12),INDEX(Capex!$C$22:$E$22,1,Inputs!$E$17)/MAX(Inputs!$E$91,1)/12,0)+IF(AND(Inputs!$E$92&gt;0,AF3&lt;=Inputs!$E$92*12),INDEX(Capex!$C$23:$E$23,1,Inputs!$E$17)/MAX(Inputs!$E$92,1)/12,0)+IF(AND(Inputs!$E$93&gt;0,AF3&lt;=Inputs!$E$93*12),INDEX(Capex!$C$24:$E$24,1,Inputs!$E$17)/MAX(Inputs!$E$93,1)/12,0)+IF(AND(Inputs!$E$94&gt;0,AF3&lt;=Inputs!$E$94*12),INDEX(Capex!$C$25:$E$25,1,Inputs!$E$17)/MAX(Inputs!$E$94,1)/12,0)</f>
        <v/>
      </c>
      <c r="AG28" s="3">
        <f>IF(AND(Inputs!$E$88&gt;0,AG3&lt;=Inputs!$E$88*12),INDEX(Capex!$C$19:$E$19,1,Inputs!$E$17)/MAX(Inputs!$E$88,1)/12,0)+IF(AND(Inputs!$E$89&gt;0,AG3&lt;=Inputs!$E$89*12),INDEX(Capex!$C$20:$E$20,1,Inputs!$E$17)/MAX(Inputs!$E$89,1)/12,0)+IF(AND(Inputs!$E$90&gt;0,AG3&lt;=Inputs!$E$90*12),INDEX(Capex!$C$21:$E$21,1,Inputs!$E$17)/MAX(Inputs!$E$90,1)/12,0)+IF(AND(Inputs!$E$91&gt;0,AG3&lt;=Inputs!$E$91*12),INDEX(Capex!$C$22:$E$22,1,Inputs!$E$17)/MAX(Inputs!$E$91,1)/12,0)+IF(AND(Inputs!$E$92&gt;0,AG3&lt;=Inputs!$E$92*12),INDEX(Capex!$C$23:$E$23,1,Inputs!$E$17)/MAX(Inputs!$E$92,1)/12,0)+IF(AND(Inputs!$E$93&gt;0,AG3&lt;=Inputs!$E$93*12),INDEX(Capex!$C$24:$E$24,1,Inputs!$E$17)/MAX(Inputs!$E$93,1)/12,0)+IF(AND(Inputs!$E$94&gt;0,AG3&lt;=Inputs!$E$94*12),INDEX(Capex!$C$25:$E$25,1,Inputs!$E$17)/MAX(Inputs!$E$94,1)/12,0)</f>
        <v/>
      </c>
      <c r="AH28" s="3">
        <f>IF(AND(Inputs!$E$88&gt;0,AH3&lt;=Inputs!$E$88*12),INDEX(Capex!$C$19:$E$19,1,Inputs!$E$17)/MAX(Inputs!$E$88,1)/12,0)+IF(AND(Inputs!$E$89&gt;0,AH3&lt;=Inputs!$E$89*12),INDEX(Capex!$C$20:$E$20,1,Inputs!$E$17)/MAX(Inputs!$E$89,1)/12,0)+IF(AND(Inputs!$E$90&gt;0,AH3&lt;=Inputs!$E$90*12),INDEX(Capex!$C$21:$E$21,1,Inputs!$E$17)/MAX(Inputs!$E$90,1)/12,0)+IF(AND(Inputs!$E$91&gt;0,AH3&lt;=Inputs!$E$91*12),INDEX(Capex!$C$22:$E$22,1,Inputs!$E$17)/MAX(Inputs!$E$91,1)/12,0)+IF(AND(Inputs!$E$92&gt;0,AH3&lt;=Inputs!$E$92*12),INDEX(Capex!$C$23:$E$23,1,Inputs!$E$17)/MAX(Inputs!$E$92,1)/12,0)+IF(AND(Inputs!$E$93&gt;0,AH3&lt;=Inputs!$E$93*12),INDEX(Capex!$C$24:$E$24,1,Inputs!$E$17)/MAX(Inputs!$E$93,1)/12,0)+IF(AND(Inputs!$E$94&gt;0,AH3&lt;=Inputs!$E$94*12),INDEX(Capex!$C$25:$E$25,1,Inputs!$E$17)/MAX(Inputs!$E$94,1)/12,0)</f>
        <v/>
      </c>
      <c r="AI28" s="3">
        <f>IF(AND(Inputs!$E$88&gt;0,AI3&lt;=Inputs!$E$88*12),INDEX(Capex!$C$19:$E$19,1,Inputs!$E$17)/MAX(Inputs!$E$88,1)/12,0)+IF(AND(Inputs!$E$89&gt;0,AI3&lt;=Inputs!$E$89*12),INDEX(Capex!$C$20:$E$20,1,Inputs!$E$17)/MAX(Inputs!$E$89,1)/12,0)+IF(AND(Inputs!$E$90&gt;0,AI3&lt;=Inputs!$E$90*12),INDEX(Capex!$C$21:$E$21,1,Inputs!$E$17)/MAX(Inputs!$E$90,1)/12,0)+IF(AND(Inputs!$E$91&gt;0,AI3&lt;=Inputs!$E$91*12),INDEX(Capex!$C$22:$E$22,1,Inputs!$E$17)/MAX(Inputs!$E$91,1)/12,0)+IF(AND(Inputs!$E$92&gt;0,AI3&lt;=Inputs!$E$92*12),INDEX(Capex!$C$23:$E$23,1,Inputs!$E$17)/MAX(Inputs!$E$92,1)/12,0)+IF(AND(Inputs!$E$93&gt;0,AI3&lt;=Inputs!$E$93*12),INDEX(Capex!$C$24:$E$24,1,Inputs!$E$17)/MAX(Inputs!$E$93,1)/12,0)+IF(AND(Inputs!$E$94&gt;0,AI3&lt;=Inputs!$E$94*12),INDEX(Capex!$C$25:$E$25,1,Inputs!$E$17)/MAX(Inputs!$E$94,1)/12,0)</f>
        <v/>
      </c>
      <c r="AJ28" s="3">
        <f>IF(AND(Inputs!$E$88&gt;0,AJ3&lt;=Inputs!$E$88*12),INDEX(Capex!$C$19:$E$19,1,Inputs!$E$17)/MAX(Inputs!$E$88,1)/12,0)+IF(AND(Inputs!$E$89&gt;0,AJ3&lt;=Inputs!$E$89*12),INDEX(Capex!$C$20:$E$20,1,Inputs!$E$17)/MAX(Inputs!$E$89,1)/12,0)+IF(AND(Inputs!$E$90&gt;0,AJ3&lt;=Inputs!$E$90*12),INDEX(Capex!$C$21:$E$21,1,Inputs!$E$17)/MAX(Inputs!$E$90,1)/12,0)+IF(AND(Inputs!$E$91&gt;0,AJ3&lt;=Inputs!$E$91*12),INDEX(Capex!$C$22:$E$22,1,Inputs!$E$17)/MAX(Inputs!$E$91,1)/12,0)+IF(AND(Inputs!$E$92&gt;0,AJ3&lt;=Inputs!$E$92*12),INDEX(Capex!$C$23:$E$23,1,Inputs!$E$17)/MAX(Inputs!$E$92,1)/12,0)+IF(AND(Inputs!$E$93&gt;0,AJ3&lt;=Inputs!$E$93*12),INDEX(Capex!$C$24:$E$24,1,Inputs!$E$17)/MAX(Inputs!$E$93,1)/12,0)+IF(AND(Inputs!$E$94&gt;0,AJ3&lt;=Inputs!$E$94*12),INDEX(Capex!$C$25:$E$25,1,Inputs!$E$17)/MAX(Inputs!$E$94,1)/12,0)</f>
        <v/>
      </c>
      <c r="AK28" s="3">
        <f>IF(AND(Inputs!$E$88&gt;0,AK3&lt;=Inputs!$E$88*12),INDEX(Capex!$C$19:$E$19,1,Inputs!$E$17)/MAX(Inputs!$E$88,1)/12,0)+IF(AND(Inputs!$E$89&gt;0,AK3&lt;=Inputs!$E$89*12),INDEX(Capex!$C$20:$E$20,1,Inputs!$E$17)/MAX(Inputs!$E$89,1)/12,0)+IF(AND(Inputs!$E$90&gt;0,AK3&lt;=Inputs!$E$90*12),INDEX(Capex!$C$21:$E$21,1,Inputs!$E$17)/MAX(Inputs!$E$90,1)/12,0)+IF(AND(Inputs!$E$91&gt;0,AK3&lt;=Inputs!$E$91*12),INDEX(Capex!$C$22:$E$22,1,Inputs!$E$17)/MAX(Inputs!$E$91,1)/12,0)+IF(AND(Inputs!$E$92&gt;0,AK3&lt;=Inputs!$E$92*12),INDEX(Capex!$C$23:$E$23,1,Inputs!$E$17)/MAX(Inputs!$E$92,1)/12,0)+IF(AND(Inputs!$E$93&gt;0,AK3&lt;=Inputs!$E$93*12),INDEX(Capex!$C$24:$E$24,1,Inputs!$E$17)/MAX(Inputs!$E$93,1)/12,0)+IF(AND(Inputs!$E$94&gt;0,AK3&lt;=Inputs!$E$94*12),INDEX(Capex!$C$25:$E$25,1,Inputs!$E$17)/MAX(Inputs!$E$94,1)/12,0)</f>
        <v/>
      </c>
      <c r="AL28" s="3">
        <f>IF(AND(Inputs!$E$88&gt;0,AL3&lt;=Inputs!$E$88*12),INDEX(Capex!$C$19:$E$19,1,Inputs!$E$17)/MAX(Inputs!$E$88,1)/12,0)+IF(AND(Inputs!$E$89&gt;0,AL3&lt;=Inputs!$E$89*12),INDEX(Capex!$C$20:$E$20,1,Inputs!$E$17)/MAX(Inputs!$E$89,1)/12,0)+IF(AND(Inputs!$E$90&gt;0,AL3&lt;=Inputs!$E$90*12),INDEX(Capex!$C$21:$E$21,1,Inputs!$E$17)/MAX(Inputs!$E$90,1)/12,0)+IF(AND(Inputs!$E$91&gt;0,AL3&lt;=Inputs!$E$91*12),INDEX(Capex!$C$22:$E$22,1,Inputs!$E$17)/MAX(Inputs!$E$91,1)/12,0)+IF(AND(Inputs!$E$92&gt;0,AL3&lt;=Inputs!$E$92*12),INDEX(Capex!$C$23:$E$23,1,Inputs!$E$17)/MAX(Inputs!$E$92,1)/12,0)+IF(AND(Inputs!$E$93&gt;0,AL3&lt;=Inputs!$E$93*12),INDEX(Capex!$C$24:$E$24,1,Inputs!$E$17)/MAX(Inputs!$E$93,1)/12,0)+IF(AND(Inputs!$E$94&gt;0,AL3&lt;=Inputs!$E$94*12),INDEX(Capex!$C$25:$E$25,1,Inputs!$E$17)/MAX(Inputs!$E$94,1)/12,0)</f>
        <v/>
      </c>
      <c r="AM28" s="3">
        <f>IF(AND(Inputs!$E$88&gt;0,AM3&lt;=Inputs!$E$88*12),INDEX(Capex!$C$19:$E$19,1,Inputs!$E$17)/MAX(Inputs!$E$88,1)/12,0)+IF(AND(Inputs!$E$89&gt;0,AM3&lt;=Inputs!$E$89*12),INDEX(Capex!$C$20:$E$20,1,Inputs!$E$17)/MAX(Inputs!$E$89,1)/12,0)+IF(AND(Inputs!$E$90&gt;0,AM3&lt;=Inputs!$E$90*12),INDEX(Capex!$C$21:$E$21,1,Inputs!$E$17)/MAX(Inputs!$E$90,1)/12,0)+IF(AND(Inputs!$E$91&gt;0,AM3&lt;=Inputs!$E$91*12),INDEX(Capex!$C$22:$E$22,1,Inputs!$E$17)/MAX(Inputs!$E$91,1)/12,0)+IF(AND(Inputs!$E$92&gt;0,AM3&lt;=Inputs!$E$92*12),INDEX(Capex!$C$23:$E$23,1,Inputs!$E$17)/MAX(Inputs!$E$92,1)/12,0)+IF(AND(Inputs!$E$93&gt;0,AM3&lt;=Inputs!$E$93*12),INDEX(Capex!$C$24:$E$24,1,Inputs!$E$17)/MAX(Inputs!$E$93,1)/12,0)+IF(AND(Inputs!$E$94&gt;0,AM3&lt;=Inputs!$E$94*12),INDEX(Capex!$C$25:$E$25,1,Inputs!$E$17)/MAX(Inputs!$E$94,1)/12,0)</f>
        <v/>
      </c>
      <c r="AN28" s="3">
        <f>IF(AND(Inputs!$E$88&gt;0,AN3&lt;=Inputs!$E$88*12),INDEX(Capex!$C$19:$E$19,1,Inputs!$E$17)/MAX(Inputs!$E$88,1)/12,0)+IF(AND(Inputs!$E$89&gt;0,AN3&lt;=Inputs!$E$89*12),INDEX(Capex!$C$20:$E$20,1,Inputs!$E$17)/MAX(Inputs!$E$89,1)/12,0)+IF(AND(Inputs!$E$90&gt;0,AN3&lt;=Inputs!$E$90*12),INDEX(Capex!$C$21:$E$21,1,Inputs!$E$17)/MAX(Inputs!$E$90,1)/12,0)+IF(AND(Inputs!$E$91&gt;0,AN3&lt;=Inputs!$E$91*12),INDEX(Capex!$C$22:$E$22,1,Inputs!$E$17)/MAX(Inputs!$E$91,1)/12,0)+IF(AND(Inputs!$E$92&gt;0,AN3&lt;=Inputs!$E$92*12),INDEX(Capex!$C$23:$E$23,1,Inputs!$E$17)/MAX(Inputs!$E$92,1)/12,0)+IF(AND(Inputs!$E$93&gt;0,AN3&lt;=Inputs!$E$93*12),INDEX(Capex!$C$24:$E$24,1,Inputs!$E$17)/MAX(Inputs!$E$93,1)/12,0)+IF(AND(Inputs!$E$94&gt;0,AN3&lt;=Inputs!$E$94*12),INDEX(Capex!$C$25:$E$25,1,Inputs!$E$17)/MAX(Inputs!$E$94,1)/12,0)</f>
        <v/>
      </c>
      <c r="AO28" s="3">
        <f>IF(AND(Inputs!$E$88&gt;0,AO3&lt;=Inputs!$E$88*12),INDEX(Capex!$C$19:$E$19,1,Inputs!$E$17)/MAX(Inputs!$E$88,1)/12,0)+IF(AND(Inputs!$E$89&gt;0,AO3&lt;=Inputs!$E$89*12),INDEX(Capex!$C$20:$E$20,1,Inputs!$E$17)/MAX(Inputs!$E$89,1)/12,0)+IF(AND(Inputs!$E$90&gt;0,AO3&lt;=Inputs!$E$90*12),INDEX(Capex!$C$21:$E$21,1,Inputs!$E$17)/MAX(Inputs!$E$90,1)/12,0)+IF(AND(Inputs!$E$91&gt;0,AO3&lt;=Inputs!$E$91*12),INDEX(Capex!$C$22:$E$22,1,Inputs!$E$17)/MAX(Inputs!$E$91,1)/12,0)+IF(AND(Inputs!$E$92&gt;0,AO3&lt;=Inputs!$E$92*12),INDEX(Capex!$C$23:$E$23,1,Inputs!$E$17)/MAX(Inputs!$E$92,1)/12,0)+IF(AND(Inputs!$E$93&gt;0,AO3&lt;=Inputs!$E$93*12),INDEX(Capex!$C$24:$E$24,1,Inputs!$E$17)/MAX(Inputs!$E$93,1)/12,0)+IF(AND(Inputs!$E$94&gt;0,AO3&lt;=Inputs!$E$94*12),INDEX(Capex!$C$25:$E$25,1,Inputs!$E$17)/MAX(Inputs!$E$94,1)/12,0)</f>
        <v/>
      </c>
      <c r="AP28" s="3">
        <f>IF(AND(Inputs!$E$88&gt;0,AP3&lt;=Inputs!$E$88*12),INDEX(Capex!$C$19:$E$19,1,Inputs!$E$17)/MAX(Inputs!$E$88,1)/12,0)+IF(AND(Inputs!$E$89&gt;0,AP3&lt;=Inputs!$E$89*12),INDEX(Capex!$C$20:$E$20,1,Inputs!$E$17)/MAX(Inputs!$E$89,1)/12,0)+IF(AND(Inputs!$E$90&gt;0,AP3&lt;=Inputs!$E$90*12),INDEX(Capex!$C$21:$E$21,1,Inputs!$E$17)/MAX(Inputs!$E$90,1)/12,0)+IF(AND(Inputs!$E$91&gt;0,AP3&lt;=Inputs!$E$91*12),INDEX(Capex!$C$22:$E$22,1,Inputs!$E$17)/MAX(Inputs!$E$91,1)/12,0)+IF(AND(Inputs!$E$92&gt;0,AP3&lt;=Inputs!$E$92*12),INDEX(Capex!$C$23:$E$23,1,Inputs!$E$17)/MAX(Inputs!$E$92,1)/12,0)+IF(AND(Inputs!$E$93&gt;0,AP3&lt;=Inputs!$E$93*12),INDEX(Capex!$C$24:$E$24,1,Inputs!$E$17)/MAX(Inputs!$E$93,1)/12,0)+IF(AND(Inputs!$E$94&gt;0,AP3&lt;=Inputs!$E$94*12),INDEX(Capex!$C$25:$E$25,1,Inputs!$E$17)/MAX(Inputs!$E$94,1)/12,0)</f>
        <v/>
      </c>
      <c r="AQ28" s="3">
        <f>IF(AND(Inputs!$E$88&gt;0,AQ3&lt;=Inputs!$E$88*12),INDEX(Capex!$C$19:$E$19,1,Inputs!$E$17)/MAX(Inputs!$E$88,1)/12,0)+IF(AND(Inputs!$E$89&gt;0,AQ3&lt;=Inputs!$E$89*12),INDEX(Capex!$C$20:$E$20,1,Inputs!$E$17)/MAX(Inputs!$E$89,1)/12,0)+IF(AND(Inputs!$E$90&gt;0,AQ3&lt;=Inputs!$E$90*12),INDEX(Capex!$C$21:$E$21,1,Inputs!$E$17)/MAX(Inputs!$E$90,1)/12,0)+IF(AND(Inputs!$E$91&gt;0,AQ3&lt;=Inputs!$E$91*12),INDEX(Capex!$C$22:$E$22,1,Inputs!$E$17)/MAX(Inputs!$E$91,1)/12,0)+IF(AND(Inputs!$E$92&gt;0,AQ3&lt;=Inputs!$E$92*12),INDEX(Capex!$C$23:$E$23,1,Inputs!$E$17)/MAX(Inputs!$E$92,1)/12,0)+IF(AND(Inputs!$E$93&gt;0,AQ3&lt;=Inputs!$E$93*12),INDEX(Capex!$C$24:$E$24,1,Inputs!$E$17)/MAX(Inputs!$E$93,1)/12,0)+IF(AND(Inputs!$E$94&gt;0,AQ3&lt;=Inputs!$E$94*12),INDEX(Capex!$C$25:$E$25,1,Inputs!$E$17)/MAX(Inputs!$E$94,1)/12,0)</f>
        <v/>
      </c>
      <c r="AR28" s="3">
        <f>IF(AND(Inputs!$E$88&gt;0,AR3&lt;=Inputs!$E$88*12),INDEX(Capex!$C$19:$E$19,1,Inputs!$E$17)/MAX(Inputs!$E$88,1)/12,0)+IF(AND(Inputs!$E$89&gt;0,AR3&lt;=Inputs!$E$89*12),INDEX(Capex!$C$20:$E$20,1,Inputs!$E$17)/MAX(Inputs!$E$89,1)/12,0)+IF(AND(Inputs!$E$90&gt;0,AR3&lt;=Inputs!$E$90*12),INDEX(Capex!$C$21:$E$21,1,Inputs!$E$17)/MAX(Inputs!$E$90,1)/12,0)+IF(AND(Inputs!$E$91&gt;0,AR3&lt;=Inputs!$E$91*12),INDEX(Capex!$C$22:$E$22,1,Inputs!$E$17)/MAX(Inputs!$E$91,1)/12,0)+IF(AND(Inputs!$E$92&gt;0,AR3&lt;=Inputs!$E$92*12),INDEX(Capex!$C$23:$E$23,1,Inputs!$E$17)/MAX(Inputs!$E$92,1)/12,0)+IF(AND(Inputs!$E$93&gt;0,AR3&lt;=Inputs!$E$93*12),INDEX(Capex!$C$24:$E$24,1,Inputs!$E$17)/MAX(Inputs!$E$93,1)/12,0)+IF(AND(Inputs!$E$94&gt;0,AR3&lt;=Inputs!$E$94*12),INDEX(Capex!$C$25:$E$25,1,Inputs!$E$17)/MAX(Inputs!$E$94,1)/12,0)</f>
        <v/>
      </c>
      <c r="AS28" s="3">
        <f>IF(AND(Inputs!$E$88&gt;0,AS3&lt;=Inputs!$E$88*12),INDEX(Capex!$C$19:$E$19,1,Inputs!$E$17)/MAX(Inputs!$E$88,1)/12,0)+IF(AND(Inputs!$E$89&gt;0,AS3&lt;=Inputs!$E$89*12),INDEX(Capex!$C$20:$E$20,1,Inputs!$E$17)/MAX(Inputs!$E$89,1)/12,0)+IF(AND(Inputs!$E$90&gt;0,AS3&lt;=Inputs!$E$90*12),INDEX(Capex!$C$21:$E$21,1,Inputs!$E$17)/MAX(Inputs!$E$90,1)/12,0)+IF(AND(Inputs!$E$91&gt;0,AS3&lt;=Inputs!$E$91*12),INDEX(Capex!$C$22:$E$22,1,Inputs!$E$17)/MAX(Inputs!$E$91,1)/12,0)+IF(AND(Inputs!$E$92&gt;0,AS3&lt;=Inputs!$E$92*12),INDEX(Capex!$C$23:$E$23,1,Inputs!$E$17)/MAX(Inputs!$E$92,1)/12,0)+IF(AND(Inputs!$E$93&gt;0,AS3&lt;=Inputs!$E$93*12),INDEX(Capex!$C$24:$E$24,1,Inputs!$E$17)/MAX(Inputs!$E$93,1)/12,0)+IF(AND(Inputs!$E$94&gt;0,AS3&lt;=Inputs!$E$94*12),INDEX(Capex!$C$25:$E$25,1,Inputs!$E$17)/MAX(Inputs!$E$94,1)/12,0)</f>
        <v/>
      </c>
      <c r="AT28" s="3">
        <f>IF(AND(Inputs!$E$88&gt;0,AT3&lt;=Inputs!$E$88*12),INDEX(Capex!$C$19:$E$19,1,Inputs!$E$17)/MAX(Inputs!$E$88,1)/12,0)+IF(AND(Inputs!$E$89&gt;0,AT3&lt;=Inputs!$E$89*12),INDEX(Capex!$C$20:$E$20,1,Inputs!$E$17)/MAX(Inputs!$E$89,1)/12,0)+IF(AND(Inputs!$E$90&gt;0,AT3&lt;=Inputs!$E$90*12),INDEX(Capex!$C$21:$E$21,1,Inputs!$E$17)/MAX(Inputs!$E$90,1)/12,0)+IF(AND(Inputs!$E$91&gt;0,AT3&lt;=Inputs!$E$91*12),INDEX(Capex!$C$22:$E$22,1,Inputs!$E$17)/MAX(Inputs!$E$91,1)/12,0)+IF(AND(Inputs!$E$92&gt;0,AT3&lt;=Inputs!$E$92*12),INDEX(Capex!$C$23:$E$23,1,Inputs!$E$17)/MAX(Inputs!$E$92,1)/12,0)+IF(AND(Inputs!$E$93&gt;0,AT3&lt;=Inputs!$E$93*12),INDEX(Capex!$C$24:$E$24,1,Inputs!$E$17)/MAX(Inputs!$E$93,1)/12,0)+IF(AND(Inputs!$E$94&gt;0,AT3&lt;=Inputs!$E$94*12),INDEX(Capex!$C$25:$E$25,1,Inputs!$E$17)/MAX(Inputs!$E$94,1)/12,0)</f>
        <v/>
      </c>
      <c r="AU28" s="3">
        <f>IF(AND(Inputs!$E$88&gt;0,AU3&lt;=Inputs!$E$88*12),INDEX(Capex!$C$19:$E$19,1,Inputs!$E$17)/MAX(Inputs!$E$88,1)/12,0)+IF(AND(Inputs!$E$89&gt;0,AU3&lt;=Inputs!$E$89*12),INDEX(Capex!$C$20:$E$20,1,Inputs!$E$17)/MAX(Inputs!$E$89,1)/12,0)+IF(AND(Inputs!$E$90&gt;0,AU3&lt;=Inputs!$E$90*12),INDEX(Capex!$C$21:$E$21,1,Inputs!$E$17)/MAX(Inputs!$E$90,1)/12,0)+IF(AND(Inputs!$E$91&gt;0,AU3&lt;=Inputs!$E$91*12),INDEX(Capex!$C$22:$E$22,1,Inputs!$E$17)/MAX(Inputs!$E$91,1)/12,0)+IF(AND(Inputs!$E$92&gt;0,AU3&lt;=Inputs!$E$92*12),INDEX(Capex!$C$23:$E$23,1,Inputs!$E$17)/MAX(Inputs!$E$92,1)/12,0)+IF(AND(Inputs!$E$93&gt;0,AU3&lt;=Inputs!$E$93*12),INDEX(Capex!$C$24:$E$24,1,Inputs!$E$17)/MAX(Inputs!$E$93,1)/12,0)+IF(AND(Inputs!$E$94&gt;0,AU3&lt;=Inputs!$E$94*12),INDEX(Capex!$C$25:$E$25,1,Inputs!$E$17)/MAX(Inputs!$E$94,1)/12,0)</f>
        <v/>
      </c>
      <c r="AV28" s="3">
        <f>IF(AND(Inputs!$E$88&gt;0,AV3&lt;=Inputs!$E$88*12),INDEX(Capex!$C$19:$E$19,1,Inputs!$E$17)/MAX(Inputs!$E$88,1)/12,0)+IF(AND(Inputs!$E$89&gt;0,AV3&lt;=Inputs!$E$89*12),INDEX(Capex!$C$20:$E$20,1,Inputs!$E$17)/MAX(Inputs!$E$89,1)/12,0)+IF(AND(Inputs!$E$90&gt;0,AV3&lt;=Inputs!$E$90*12),INDEX(Capex!$C$21:$E$21,1,Inputs!$E$17)/MAX(Inputs!$E$90,1)/12,0)+IF(AND(Inputs!$E$91&gt;0,AV3&lt;=Inputs!$E$91*12),INDEX(Capex!$C$22:$E$22,1,Inputs!$E$17)/MAX(Inputs!$E$91,1)/12,0)+IF(AND(Inputs!$E$92&gt;0,AV3&lt;=Inputs!$E$92*12),INDEX(Capex!$C$23:$E$23,1,Inputs!$E$17)/MAX(Inputs!$E$92,1)/12,0)+IF(AND(Inputs!$E$93&gt;0,AV3&lt;=Inputs!$E$93*12),INDEX(Capex!$C$24:$E$24,1,Inputs!$E$17)/MAX(Inputs!$E$93,1)/12,0)+IF(AND(Inputs!$E$94&gt;0,AV3&lt;=Inputs!$E$94*12),INDEX(Capex!$C$25:$E$25,1,Inputs!$E$17)/MAX(Inputs!$E$94,1)/12,0)</f>
        <v/>
      </c>
      <c r="AW28" s="3">
        <f>IF(AND(Inputs!$E$88&gt;0,AW3&lt;=Inputs!$E$88*12),INDEX(Capex!$C$19:$E$19,1,Inputs!$E$17)/MAX(Inputs!$E$88,1)/12,0)+IF(AND(Inputs!$E$89&gt;0,AW3&lt;=Inputs!$E$89*12),INDEX(Capex!$C$20:$E$20,1,Inputs!$E$17)/MAX(Inputs!$E$89,1)/12,0)+IF(AND(Inputs!$E$90&gt;0,AW3&lt;=Inputs!$E$90*12),INDEX(Capex!$C$21:$E$21,1,Inputs!$E$17)/MAX(Inputs!$E$90,1)/12,0)+IF(AND(Inputs!$E$91&gt;0,AW3&lt;=Inputs!$E$91*12),INDEX(Capex!$C$22:$E$22,1,Inputs!$E$17)/MAX(Inputs!$E$91,1)/12,0)+IF(AND(Inputs!$E$92&gt;0,AW3&lt;=Inputs!$E$92*12),INDEX(Capex!$C$23:$E$23,1,Inputs!$E$17)/MAX(Inputs!$E$92,1)/12,0)+IF(AND(Inputs!$E$93&gt;0,AW3&lt;=Inputs!$E$93*12),INDEX(Capex!$C$24:$E$24,1,Inputs!$E$17)/MAX(Inputs!$E$93,1)/12,0)+IF(AND(Inputs!$E$94&gt;0,AW3&lt;=Inputs!$E$94*12),INDEX(Capex!$C$25:$E$25,1,Inputs!$E$17)/MAX(Inputs!$E$94,1)/12,0)</f>
        <v/>
      </c>
      <c r="AX28" s="3">
        <f>IF(AND(Inputs!$E$88&gt;0,AX3&lt;=Inputs!$E$88*12),INDEX(Capex!$C$19:$E$19,1,Inputs!$E$17)/MAX(Inputs!$E$88,1)/12,0)+IF(AND(Inputs!$E$89&gt;0,AX3&lt;=Inputs!$E$89*12),INDEX(Capex!$C$20:$E$20,1,Inputs!$E$17)/MAX(Inputs!$E$89,1)/12,0)+IF(AND(Inputs!$E$90&gt;0,AX3&lt;=Inputs!$E$90*12),INDEX(Capex!$C$21:$E$21,1,Inputs!$E$17)/MAX(Inputs!$E$90,1)/12,0)+IF(AND(Inputs!$E$91&gt;0,AX3&lt;=Inputs!$E$91*12),INDEX(Capex!$C$22:$E$22,1,Inputs!$E$17)/MAX(Inputs!$E$91,1)/12,0)+IF(AND(Inputs!$E$92&gt;0,AX3&lt;=Inputs!$E$92*12),INDEX(Capex!$C$23:$E$23,1,Inputs!$E$17)/MAX(Inputs!$E$92,1)/12,0)+IF(AND(Inputs!$E$93&gt;0,AX3&lt;=Inputs!$E$93*12),INDEX(Capex!$C$24:$E$24,1,Inputs!$E$17)/MAX(Inputs!$E$93,1)/12,0)+IF(AND(Inputs!$E$94&gt;0,AX3&lt;=Inputs!$E$94*12),INDEX(Capex!$C$25:$E$25,1,Inputs!$E$17)/MAX(Inputs!$E$94,1)/12,0)</f>
        <v/>
      </c>
      <c r="AY28" s="3">
        <f>IF(AND(Inputs!$E$88&gt;0,AY3&lt;=Inputs!$E$88*12),INDEX(Capex!$C$19:$E$19,1,Inputs!$E$17)/MAX(Inputs!$E$88,1)/12,0)+IF(AND(Inputs!$E$89&gt;0,AY3&lt;=Inputs!$E$89*12),INDEX(Capex!$C$20:$E$20,1,Inputs!$E$17)/MAX(Inputs!$E$89,1)/12,0)+IF(AND(Inputs!$E$90&gt;0,AY3&lt;=Inputs!$E$90*12),INDEX(Capex!$C$21:$E$21,1,Inputs!$E$17)/MAX(Inputs!$E$90,1)/12,0)+IF(AND(Inputs!$E$91&gt;0,AY3&lt;=Inputs!$E$91*12),INDEX(Capex!$C$22:$E$22,1,Inputs!$E$17)/MAX(Inputs!$E$91,1)/12,0)+IF(AND(Inputs!$E$92&gt;0,AY3&lt;=Inputs!$E$92*12),INDEX(Capex!$C$23:$E$23,1,Inputs!$E$17)/MAX(Inputs!$E$92,1)/12,0)+IF(AND(Inputs!$E$93&gt;0,AY3&lt;=Inputs!$E$93*12),INDEX(Capex!$C$24:$E$24,1,Inputs!$E$17)/MAX(Inputs!$E$93,1)/12,0)+IF(AND(Inputs!$E$94&gt;0,AY3&lt;=Inputs!$E$94*12),INDEX(Capex!$C$25:$E$25,1,Inputs!$E$17)/MAX(Inputs!$E$94,1)/12,0)</f>
        <v/>
      </c>
      <c r="AZ28" s="3">
        <f>IF(AND(Inputs!$E$88&gt;0,AZ3&lt;=Inputs!$E$88*12),INDEX(Capex!$C$19:$E$19,1,Inputs!$E$17)/MAX(Inputs!$E$88,1)/12,0)+IF(AND(Inputs!$E$89&gt;0,AZ3&lt;=Inputs!$E$89*12),INDEX(Capex!$C$20:$E$20,1,Inputs!$E$17)/MAX(Inputs!$E$89,1)/12,0)+IF(AND(Inputs!$E$90&gt;0,AZ3&lt;=Inputs!$E$90*12),INDEX(Capex!$C$21:$E$21,1,Inputs!$E$17)/MAX(Inputs!$E$90,1)/12,0)+IF(AND(Inputs!$E$91&gt;0,AZ3&lt;=Inputs!$E$91*12),INDEX(Capex!$C$22:$E$22,1,Inputs!$E$17)/MAX(Inputs!$E$91,1)/12,0)+IF(AND(Inputs!$E$92&gt;0,AZ3&lt;=Inputs!$E$92*12),INDEX(Capex!$C$23:$E$23,1,Inputs!$E$17)/MAX(Inputs!$E$92,1)/12,0)+IF(AND(Inputs!$E$93&gt;0,AZ3&lt;=Inputs!$E$93*12),INDEX(Capex!$C$24:$E$24,1,Inputs!$E$17)/MAX(Inputs!$E$93,1)/12,0)+IF(AND(Inputs!$E$94&gt;0,AZ3&lt;=Inputs!$E$94*12),INDEX(Capex!$C$25:$E$25,1,Inputs!$E$17)/MAX(Inputs!$E$94,1)/12,0)</f>
        <v/>
      </c>
      <c r="BA28" s="3">
        <f>IF(AND(Inputs!$E$88&gt;0,BA3&lt;=Inputs!$E$88*12),INDEX(Capex!$C$19:$E$19,1,Inputs!$E$17)/MAX(Inputs!$E$88,1)/12,0)+IF(AND(Inputs!$E$89&gt;0,BA3&lt;=Inputs!$E$89*12),INDEX(Capex!$C$20:$E$20,1,Inputs!$E$17)/MAX(Inputs!$E$89,1)/12,0)+IF(AND(Inputs!$E$90&gt;0,BA3&lt;=Inputs!$E$90*12),INDEX(Capex!$C$21:$E$21,1,Inputs!$E$17)/MAX(Inputs!$E$90,1)/12,0)+IF(AND(Inputs!$E$91&gt;0,BA3&lt;=Inputs!$E$91*12),INDEX(Capex!$C$22:$E$22,1,Inputs!$E$17)/MAX(Inputs!$E$91,1)/12,0)+IF(AND(Inputs!$E$92&gt;0,BA3&lt;=Inputs!$E$92*12),INDEX(Capex!$C$23:$E$23,1,Inputs!$E$17)/MAX(Inputs!$E$92,1)/12,0)+IF(AND(Inputs!$E$93&gt;0,BA3&lt;=Inputs!$E$93*12),INDEX(Capex!$C$24:$E$24,1,Inputs!$E$17)/MAX(Inputs!$E$93,1)/12,0)+IF(AND(Inputs!$E$94&gt;0,BA3&lt;=Inputs!$E$94*12),INDEX(Capex!$C$25:$E$25,1,Inputs!$E$17)/MAX(Inputs!$E$94,1)/12,0)</f>
        <v/>
      </c>
      <c r="BB28" s="3">
        <f>IF(AND(Inputs!$E$88&gt;0,BB3&lt;=Inputs!$E$88*12),INDEX(Capex!$C$19:$E$19,1,Inputs!$E$17)/MAX(Inputs!$E$88,1)/12,0)+IF(AND(Inputs!$E$89&gt;0,BB3&lt;=Inputs!$E$89*12),INDEX(Capex!$C$20:$E$20,1,Inputs!$E$17)/MAX(Inputs!$E$89,1)/12,0)+IF(AND(Inputs!$E$90&gt;0,BB3&lt;=Inputs!$E$90*12),INDEX(Capex!$C$21:$E$21,1,Inputs!$E$17)/MAX(Inputs!$E$90,1)/12,0)+IF(AND(Inputs!$E$91&gt;0,BB3&lt;=Inputs!$E$91*12),INDEX(Capex!$C$22:$E$22,1,Inputs!$E$17)/MAX(Inputs!$E$91,1)/12,0)+IF(AND(Inputs!$E$92&gt;0,BB3&lt;=Inputs!$E$92*12),INDEX(Capex!$C$23:$E$23,1,Inputs!$E$17)/MAX(Inputs!$E$92,1)/12,0)+IF(AND(Inputs!$E$93&gt;0,BB3&lt;=Inputs!$E$93*12),INDEX(Capex!$C$24:$E$24,1,Inputs!$E$17)/MAX(Inputs!$E$93,1)/12,0)+IF(AND(Inputs!$E$94&gt;0,BB3&lt;=Inputs!$E$94*12),INDEX(Capex!$C$25:$E$25,1,Inputs!$E$17)/MAX(Inputs!$E$94,1)/12,0)</f>
        <v/>
      </c>
      <c r="BC28" s="3">
        <f>IF(AND(Inputs!$E$88&gt;0,BC3&lt;=Inputs!$E$88*12),INDEX(Capex!$C$19:$E$19,1,Inputs!$E$17)/MAX(Inputs!$E$88,1)/12,0)+IF(AND(Inputs!$E$89&gt;0,BC3&lt;=Inputs!$E$89*12),INDEX(Capex!$C$20:$E$20,1,Inputs!$E$17)/MAX(Inputs!$E$89,1)/12,0)+IF(AND(Inputs!$E$90&gt;0,BC3&lt;=Inputs!$E$90*12),INDEX(Capex!$C$21:$E$21,1,Inputs!$E$17)/MAX(Inputs!$E$90,1)/12,0)+IF(AND(Inputs!$E$91&gt;0,BC3&lt;=Inputs!$E$91*12),INDEX(Capex!$C$22:$E$22,1,Inputs!$E$17)/MAX(Inputs!$E$91,1)/12,0)+IF(AND(Inputs!$E$92&gt;0,BC3&lt;=Inputs!$E$92*12),INDEX(Capex!$C$23:$E$23,1,Inputs!$E$17)/MAX(Inputs!$E$92,1)/12,0)+IF(AND(Inputs!$E$93&gt;0,BC3&lt;=Inputs!$E$93*12),INDEX(Capex!$C$24:$E$24,1,Inputs!$E$17)/MAX(Inputs!$E$93,1)/12,0)+IF(AND(Inputs!$E$94&gt;0,BC3&lt;=Inputs!$E$94*12),INDEX(Capex!$C$25:$E$25,1,Inputs!$E$17)/MAX(Inputs!$E$94,1)/12,0)</f>
        <v/>
      </c>
      <c r="BD28" s="3">
        <f>IF(AND(Inputs!$E$88&gt;0,BD3&lt;=Inputs!$E$88*12),INDEX(Capex!$C$19:$E$19,1,Inputs!$E$17)/MAX(Inputs!$E$88,1)/12,0)+IF(AND(Inputs!$E$89&gt;0,BD3&lt;=Inputs!$E$89*12),INDEX(Capex!$C$20:$E$20,1,Inputs!$E$17)/MAX(Inputs!$E$89,1)/12,0)+IF(AND(Inputs!$E$90&gt;0,BD3&lt;=Inputs!$E$90*12),INDEX(Capex!$C$21:$E$21,1,Inputs!$E$17)/MAX(Inputs!$E$90,1)/12,0)+IF(AND(Inputs!$E$91&gt;0,BD3&lt;=Inputs!$E$91*12),INDEX(Capex!$C$22:$E$22,1,Inputs!$E$17)/MAX(Inputs!$E$91,1)/12,0)+IF(AND(Inputs!$E$92&gt;0,BD3&lt;=Inputs!$E$92*12),INDEX(Capex!$C$23:$E$23,1,Inputs!$E$17)/MAX(Inputs!$E$92,1)/12,0)+IF(AND(Inputs!$E$93&gt;0,BD3&lt;=Inputs!$E$93*12),INDEX(Capex!$C$24:$E$24,1,Inputs!$E$17)/MAX(Inputs!$E$93,1)/12,0)+IF(AND(Inputs!$E$94&gt;0,BD3&lt;=Inputs!$E$94*12),INDEX(Capex!$C$25:$E$25,1,Inputs!$E$17)/MAX(Inputs!$E$94,1)/12,0)</f>
        <v/>
      </c>
      <c r="BE28" s="3">
        <f>IF(AND(Inputs!$E$88&gt;0,BE3&lt;=Inputs!$E$88*12),INDEX(Capex!$C$19:$E$19,1,Inputs!$E$17)/MAX(Inputs!$E$88,1)/12,0)+IF(AND(Inputs!$E$89&gt;0,BE3&lt;=Inputs!$E$89*12),INDEX(Capex!$C$20:$E$20,1,Inputs!$E$17)/MAX(Inputs!$E$89,1)/12,0)+IF(AND(Inputs!$E$90&gt;0,BE3&lt;=Inputs!$E$90*12),INDEX(Capex!$C$21:$E$21,1,Inputs!$E$17)/MAX(Inputs!$E$90,1)/12,0)+IF(AND(Inputs!$E$91&gt;0,BE3&lt;=Inputs!$E$91*12),INDEX(Capex!$C$22:$E$22,1,Inputs!$E$17)/MAX(Inputs!$E$91,1)/12,0)+IF(AND(Inputs!$E$92&gt;0,BE3&lt;=Inputs!$E$92*12),INDEX(Capex!$C$23:$E$23,1,Inputs!$E$17)/MAX(Inputs!$E$92,1)/12,0)+IF(AND(Inputs!$E$93&gt;0,BE3&lt;=Inputs!$E$93*12),INDEX(Capex!$C$24:$E$24,1,Inputs!$E$17)/MAX(Inputs!$E$93,1)/12,0)+IF(AND(Inputs!$E$94&gt;0,BE3&lt;=Inputs!$E$94*12),INDEX(Capex!$C$25:$E$25,1,Inputs!$E$17)/MAX(Inputs!$E$94,1)/12,0)</f>
        <v/>
      </c>
      <c r="BF28" s="3">
        <f>IF(AND(Inputs!$E$88&gt;0,BF3&lt;=Inputs!$E$88*12),INDEX(Capex!$C$19:$E$19,1,Inputs!$E$17)/MAX(Inputs!$E$88,1)/12,0)+IF(AND(Inputs!$E$89&gt;0,BF3&lt;=Inputs!$E$89*12),INDEX(Capex!$C$20:$E$20,1,Inputs!$E$17)/MAX(Inputs!$E$89,1)/12,0)+IF(AND(Inputs!$E$90&gt;0,BF3&lt;=Inputs!$E$90*12),INDEX(Capex!$C$21:$E$21,1,Inputs!$E$17)/MAX(Inputs!$E$90,1)/12,0)+IF(AND(Inputs!$E$91&gt;0,BF3&lt;=Inputs!$E$91*12),INDEX(Capex!$C$22:$E$22,1,Inputs!$E$17)/MAX(Inputs!$E$91,1)/12,0)+IF(AND(Inputs!$E$92&gt;0,BF3&lt;=Inputs!$E$92*12),INDEX(Capex!$C$23:$E$23,1,Inputs!$E$17)/MAX(Inputs!$E$92,1)/12,0)+IF(AND(Inputs!$E$93&gt;0,BF3&lt;=Inputs!$E$93*12),INDEX(Capex!$C$24:$E$24,1,Inputs!$E$17)/MAX(Inputs!$E$93,1)/12,0)+IF(AND(Inputs!$E$94&gt;0,BF3&lt;=Inputs!$E$94*12),INDEX(Capex!$C$25:$E$25,1,Inputs!$E$17)/MAX(Inputs!$E$94,1)/12,0)</f>
        <v/>
      </c>
      <c r="BG28" s="3">
        <f>IF(AND(Inputs!$E$88&gt;0,BG3&lt;=Inputs!$E$88*12),INDEX(Capex!$C$19:$E$19,1,Inputs!$E$17)/MAX(Inputs!$E$88,1)/12,0)+IF(AND(Inputs!$E$89&gt;0,BG3&lt;=Inputs!$E$89*12),INDEX(Capex!$C$20:$E$20,1,Inputs!$E$17)/MAX(Inputs!$E$89,1)/12,0)+IF(AND(Inputs!$E$90&gt;0,BG3&lt;=Inputs!$E$90*12),INDEX(Capex!$C$21:$E$21,1,Inputs!$E$17)/MAX(Inputs!$E$90,1)/12,0)+IF(AND(Inputs!$E$91&gt;0,BG3&lt;=Inputs!$E$91*12),INDEX(Capex!$C$22:$E$22,1,Inputs!$E$17)/MAX(Inputs!$E$91,1)/12,0)+IF(AND(Inputs!$E$92&gt;0,BG3&lt;=Inputs!$E$92*12),INDEX(Capex!$C$23:$E$23,1,Inputs!$E$17)/MAX(Inputs!$E$92,1)/12,0)+IF(AND(Inputs!$E$93&gt;0,BG3&lt;=Inputs!$E$93*12),INDEX(Capex!$C$24:$E$24,1,Inputs!$E$17)/MAX(Inputs!$E$93,1)/12,0)+IF(AND(Inputs!$E$94&gt;0,BG3&lt;=Inputs!$E$94*12),INDEX(Capex!$C$25:$E$25,1,Inputs!$E$17)/MAX(Inputs!$E$94,1)/12,0)</f>
        <v/>
      </c>
      <c r="BH28" s="3">
        <f>IF(AND(Inputs!$E$88&gt;0,BH3&lt;=Inputs!$E$88*12),INDEX(Capex!$C$19:$E$19,1,Inputs!$E$17)/MAX(Inputs!$E$88,1)/12,0)+IF(AND(Inputs!$E$89&gt;0,BH3&lt;=Inputs!$E$89*12),INDEX(Capex!$C$20:$E$20,1,Inputs!$E$17)/MAX(Inputs!$E$89,1)/12,0)+IF(AND(Inputs!$E$90&gt;0,BH3&lt;=Inputs!$E$90*12),INDEX(Capex!$C$21:$E$21,1,Inputs!$E$17)/MAX(Inputs!$E$90,1)/12,0)+IF(AND(Inputs!$E$91&gt;0,BH3&lt;=Inputs!$E$91*12),INDEX(Capex!$C$22:$E$22,1,Inputs!$E$17)/MAX(Inputs!$E$91,1)/12,0)+IF(AND(Inputs!$E$92&gt;0,BH3&lt;=Inputs!$E$92*12),INDEX(Capex!$C$23:$E$23,1,Inputs!$E$17)/MAX(Inputs!$E$92,1)/12,0)+IF(AND(Inputs!$E$93&gt;0,BH3&lt;=Inputs!$E$93*12),INDEX(Capex!$C$24:$E$24,1,Inputs!$E$17)/MAX(Inputs!$E$93,1)/12,0)+IF(AND(Inputs!$E$94&gt;0,BH3&lt;=Inputs!$E$94*12),INDEX(Capex!$C$25:$E$25,1,Inputs!$E$17)/MAX(Inputs!$E$94,1)/12,0)</f>
        <v/>
      </c>
      <c r="BI28" s="3">
        <f>IF(AND(Inputs!$E$88&gt;0,BI3&lt;=Inputs!$E$88*12),INDEX(Capex!$C$19:$E$19,1,Inputs!$E$17)/MAX(Inputs!$E$88,1)/12,0)+IF(AND(Inputs!$E$89&gt;0,BI3&lt;=Inputs!$E$89*12),INDEX(Capex!$C$20:$E$20,1,Inputs!$E$17)/MAX(Inputs!$E$89,1)/12,0)+IF(AND(Inputs!$E$90&gt;0,BI3&lt;=Inputs!$E$90*12),INDEX(Capex!$C$21:$E$21,1,Inputs!$E$17)/MAX(Inputs!$E$90,1)/12,0)+IF(AND(Inputs!$E$91&gt;0,BI3&lt;=Inputs!$E$91*12),INDEX(Capex!$C$22:$E$22,1,Inputs!$E$17)/MAX(Inputs!$E$91,1)/12,0)+IF(AND(Inputs!$E$92&gt;0,BI3&lt;=Inputs!$E$92*12),INDEX(Capex!$C$23:$E$23,1,Inputs!$E$17)/MAX(Inputs!$E$92,1)/12,0)+IF(AND(Inputs!$E$93&gt;0,BI3&lt;=Inputs!$E$93*12),INDEX(Capex!$C$24:$E$24,1,Inputs!$E$17)/MAX(Inputs!$E$93,1)/12,0)+IF(AND(Inputs!$E$94&gt;0,BI3&lt;=Inputs!$E$94*12),INDEX(Capex!$C$25:$E$25,1,Inputs!$E$17)/MAX(Inputs!$E$94,1)/12,0)</f>
        <v/>
      </c>
      <c r="BJ28" s="3">
        <f>IF(AND(Inputs!$E$88&gt;0,BJ3&lt;=Inputs!$E$88*12),INDEX(Capex!$C$19:$E$19,1,Inputs!$E$17)/MAX(Inputs!$E$88,1)/12,0)+IF(AND(Inputs!$E$89&gt;0,BJ3&lt;=Inputs!$E$89*12),INDEX(Capex!$C$20:$E$20,1,Inputs!$E$17)/MAX(Inputs!$E$89,1)/12,0)+IF(AND(Inputs!$E$90&gt;0,BJ3&lt;=Inputs!$E$90*12),INDEX(Capex!$C$21:$E$21,1,Inputs!$E$17)/MAX(Inputs!$E$90,1)/12,0)+IF(AND(Inputs!$E$91&gt;0,BJ3&lt;=Inputs!$E$91*12),INDEX(Capex!$C$22:$E$22,1,Inputs!$E$17)/MAX(Inputs!$E$91,1)/12,0)+IF(AND(Inputs!$E$92&gt;0,BJ3&lt;=Inputs!$E$92*12),INDEX(Capex!$C$23:$E$23,1,Inputs!$E$17)/MAX(Inputs!$E$92,1)/12,0)+IF(AND(Inputs!$E$93&gt;0,BJ3&lt;=Inputs!$E$93*12),INDEX(Capex!$C$24:$E$24,1,Inputs!$E$17)/MAX(Inputs!$E$93,1)/12,0)+IF(AND(Inputs!$E$94&gt;0,BJ3&lt;=Inputs!$E$94*12),INDEX(Capex!$C$25:$E$25,1,Inputs!$E$17)/MAX(Inputs!$E$94,1)/12,0)</f>
        <v/>
      </c>
    </row>
    <row r="29">
      <c r="A29" t="inlineStr">
        <is>
          <t>EBIT</t>
        </is>
      </c>
      <c r="C29" s="3">
        <f>C27-C28</f>
        <v/>
      </c>
      <c r="D29" s="3">
        <f>D27-D28</f>
        <v/>
      </c>
      <c r="E29" s="3">
        <f>E27-E28</f>
        <v/>
      </c>
      <c r="F29" s="3">
        <f>F27-F28</f>
        <v/>
      </c>
      <c r="G29" s="3">
        <f>G27-G28</f>
        <v/>
      </c>
      <c r="H29" s="3">
        <f>H27-H28</f>
        <v/>
      </c>
      <c r="I29" s="3">
        <f>I27-I28</f>
        <v/>
      </c>
      <c r="J29" s="3">
        <f>J27-J28</f>
        <v/>
      </c>
      <c r="K29" s="3">
        <f>K27-K28</f>
        <v/>
      </c>
      <c r="L29" s="3">
        <f>L27-L28</f>
        <v/>
      </c>
      <c r="M29" s="3">
        <f>M27-M28</f>
        <v/>
      </c>
      <c r="N29" s="3">
        <f>N27-N28</f>
        <v/>
      </c>
      <c r="O29" s="3">
        <f>O27-O28</f>
        <v/>
      </c>
      <c r="P29" s="3">
        <f>P27-P28</f>
        <v/>
      </c>
      <c r="Q29" s="3">
        <f>Q27-Q28</f>
        <v/>
      </c>
      <c r="R29" s="3">
        <f>R27-R28</f>
        <v/>
      </c>
      <c r="S29" s="3">
        <f>S27-S28</f>
        <v/>
      </c>
      <c r="T29" s="3">
        <f>T27-T28</f>
        <v/>
      </c>
      <c r="U29" s="3">
        <f>U27-U28</f>
        <v/>
      </c>
      <c r="V29" s="3">
        <f>V27-V28</f>
        <v/>
      </c>
      <c r="W29" s="3">
        <f>W27-W28</f>
        <v/>
      </c>
      <c r="X29" s="3">
        <f>X27-X28</f>
        <v/>
      </c>
      <c r="Y29" s="3">
        <f>Y27-Y28</f>
        <v/>
      </c>
      <c r="Z29" s="3">
        <f>Z27-Z28</f>
        <v/>
      </c>
      <c r="AA29" s="3">
        <f>AA27-AA28</f>
        <v/>
      </c>
      <c r="AB29" s="3">
        <f>AB27-AB28</f>
        <v/>
      </c>
      <c r="AC29" s="3">
        <f>AC27-AC28</f>
        <v/>
      </c>
      <c r="AD29" s="3">
        <f>AD27-AD28</f>
        <v/>
      </c>
      <c r="AE29" s="3">
        <f>AE27-AE28</f>
        <v/>
      </c>
      <c r="AF29" s="3">
        <f>AF27-AF28</f>
        <v/>
      </c>
      <c r="AG29" s="3">
        <f>AG27-AG28</f>
        <v/>
      </c>
      <c r="AH29" s="3">
        <f>AH27-AH28</f>
        <v/>
      </c>
      <c r="AI29" s="3">
        <f>AI27-AI28</f>
        <v/>
      </c>
      <c r="AJ29" s="3">
        <f>AJ27-AJ28</f>
        <v/>
      </c>
      <c r="AK29" s="3">
        <f>AK27-AK28</f>
        <v/>
      </c>
      <c r="AL29" s="3">
        <f>AL27-AL28</f>
        <v/>
      </c>
      <c r="AM29" s="3">
        <f>AM27-AM28</f>
        <v/>
      </c>
      <c r="AN29" s="3">
        <f>AN27-AN28</f>
        <v/>
      </c>
      <c r="AO29" s="3">
        <f>AO27-AO28</f>
        <v/>
      </c>
      <c r="AP29" s="3">
        <f>AP27-AP28</f>
        <v/>
      </c>
      <c r="AQ29" s="3">
        <f>AQ27-AQ28</f>
        <v/>
      </c>
      <c r="AR29" s="3">
        <f>AR27-AR28</f>
        <v/>
      </c>
      <c r="AS29" s="3">
        <f>AS27-AS28</f>
        <v/>
      </c>
      <c r="AT29" s="3">
        <f>AT27-AT28</f>
        <v/>
      </c>
      <c r="AU29" s="3">
        <f>AU27-AU28</f>
        <v/>
      </c>
      <c r="AV29" s="3">
        <f>AV27-AV28</f>
        <v/>
      </c>
      <c r="AW29" s="3">
        <f>AW27-AW28</f>
        <v/>
      </c>
      <c r="AX29" s="3">
        <f>AX27-AX28</f>
        <v/>
      </c>
      <c r="AY29" s="3">
        <f>AY27-AY28</f>
        <v/>
      </c>
      <c r="AZ29" s="3">
        <f>AZ27-AZ28</f>
        <v/>
      </c>
      <c r="BA29" s="3">
        <f>BA27-BA28</f>
        <v/>
      </c>
      <c r="BB29" s="3">
        <f>BB27-BB28</f>
        <v/>
      </c>
      <c r="BC29" s="3">
        <f>BC27-BC28</f>
        <v/>
      </c>
      <c r="BD29" s="3">
        <f>BD27-BD28</f>
        <v/>
      </c>
      <c r="BE29" s="3">
        <f>BE27-BE28</f>
        <v/>
      </c>
      <c r="BF29" s="3">
        <f>BF27-BF28</f>
        <v/>
      </c>
      <c r="BG29" s="3">
        <f>BG27-BG28</f>
        <v/>
      </c>
      <c r="BH29" s="3">
        <f>BH27-BH28</f>
        <v/>
      </c>
      <c r="BI29" s="3">
        <f>BI27-BI28</f>
        <v/>
      </c>
      <c r="BJ29" s="3">
        <f>BJ27-BJ28</f>
        <v/>
      </c>
    </row>
    <row r="30">
      <c r="A30" t="inlineStr">
        <is>
          <t>Cash before tax/capex adj.</t>
        </is>
      </c>
      <c r="C30" s="3">
        <f>C27-(INDEX(Annual!$C$30:$G$30,1,C4)+INDEX(Annual!$C$23:$G$23,1,C4)+INDEX(Annual!$C$33:$G$33,1,C4)+INDEX(Annual!$C$35:$G$35,1,C4))/12</f>
        <v/>
      </c>
      <c r="D30" s="3">
        <f>D27-(INDEX(Annual!$C$30:$G$30,1,D4)+INDEX(Annual!$C$23:$G$23,1,D4)+INDEX(Annual!$C$33:$G$33,1,D4)+INDEX(Annual!$C$35:$G$35,1,D4))/12</f>
        <v/>
      </c>
      <c r="E30" s="3">
        <f>E27-(INDEX(Annual!$C$30:$G$30,1,E4)+INDEX(Annual!$C$23:$G$23,1,E4)+INDEX(Annual!$C$33:$G$33,1,E4)+INDEX(Annual!$C$35:$G$35,1,E4))/12</f>
        <v/>
      </c>
      <c r="F30" s="3">
        <f>F27-(INDEX(Annual!$C$30:$G$30,1,F4)+INDEX(Annual!$C$23:$G$23,1,F4)+INDEX(Annual!$C$33:$G$33,1,F4)+INDEX(Annual!$C$35:$G$35,1,F4))/12</f>
        <v/>
      </c>
      <c r="G30" s="3">
        <f>G27-(INDEX(Annual!$C$30:$G$30,1,G4)+INDEX(Annual!$C$23:$G$23,1,G4)+INDEX(Annual!$C$33:$G$33,1,G4)+INDEX(Annual!$C$35:$G$35,1,G4))/12</f>
        <v/>
      </c>
      <c r="H30" s="3">
        <f>H27-(INDEX(Annual!$C$30:$G$30,1,H4)+INDEX(Annual!$C$23:$G$23,1,H4)+INDEX(Annual!$C$33:$G$33,1,H4)+INDEX(Annual!$C$35:$G$35,1,H4))/12</f>
        <v/>
      </c>
      <c r="I30" s="3">
        <f>I27-(INDEX(Annual!$C$30:$G$30,1,I4)+INDEX(Annual!$C$23:$G$23,1,I4)+INDEX(Annual!$C$33:$G$33,1,I4)+INDEX(Annual!$C$35:$G$35,1,I4))/12</f>
        <v/>
      </c>
      <c r="J30" s="3">
        <f>J27-(INDEX(Annual!$C$30:$G$30,1,J4)+INDEX(Annual!$C$23:$G$23,1,J4)+INDEX(Annual!$C$33:$G$33,1,J4)+INDEX(Annual!$C$35:$G$35,1,J4))/12</f>
        <v/>
      </c>
      <c r="K30" s="3">
        <f>K27-(INDEX(Annual!$C$30:$G$30,1,K4)+INDEX(Annual!$C$23:$G$23,1,K4)+INDEX(Annual!$C$33:$G$33,1,K4)+INDEX(Annual!$C$35:$G$35,1,K4))/12</f>
        <v/>
      </c>
      <c r="L30" s="3">
        <f>L27-(INDEX(Annual!$C$30:$G$30,1,L4)+INDEX(Annual!$C$23:$G$23,1,L4)+INDEX(Annual!$C$33:$G$33,1,L4)+INDEX(Annual!$C$35:$G$35,1,L4))/12</f>
        <v/>
      </c>
      <c r="M30" s="3">
        <f>M27-(INDEX(Annual!$C$30:$G$30,1,M4)+INDEX(Annual!$C$23:$G$23,1,M4)+INDEX(Annual!$C$33:$G$33,1,M4)+INDEX(Annual!$C$35:$G$35,1,M4))/12</f>
        <v/>
      </c>
      <c r="N30" s="3">
        <f>N27-(INDEX(Annual!$C$30:$G$30,1,N4)+INDEX(Annual!$C$23:$G$23,1,N4)+INDEX(Annual!$C$33:$G$33,1,N4)+INDEX(Annual!$C$35:$G$35,1,N4))/12</f>
        <v/>
      </c>
      <c r="O30" s="3">
        <f>O27-(INDEX(Annual!$C$30:$G$30,1,O4)+INDEX(Annual!$C$23:$G$23,1,O4)+INDEX(Annual!$C$33:$G$33,1,O4)+INDEX(Annual!$C$35:$G$35,1,O4))/12</f>
        <v/>
      </c>
      <c r="P30" s="3">
        <f>P27-(INDEX(Annual!$C$30:$G$30,1,P4)+INDEX(Annual!$C$23:$G$23,1,P4)+INDEX(Annual!$C$33:$G$33,1,P4)+INDEX(Annual!$C$35:$G$35,1,P4))/12</f>
        <v/>
      </c>
      <c r="Q30" s="3">
        <f>Q27-(INDEX(Annual!$C$30:$G$30,1,Q4)+INDEX(Annual!$C$23:$G$23,1,Q4)+INDEX(Annual!$C$33:$G$33,1,Q4)+INDEX(Annual!$C$35:$G$35,1,Q4))/12</f>
        <v/>
      </c>
      <c r="R30" s="3">
        <f>R27-(INDEX(Annual!$C$30:$G$30,1,R4)+INDEX(Annual!$C$23:$G$23,1,R4)+INDEX(Annual!$C$33:$G$33,1,R4)+INDEX(Annual!$C$35:$G$35,1,R4))/12</f>
        <v/>
      </c>
      <c r="S30" s="3">
        <f>S27-(INDEX(Annual!$C$30:$G$30,1,S4)+INDEX(Annual!$C$23:$G$23,1,S4)+INDEX(Annual!$C$33:$G$33,1,S4)+INDEX(Annual!$C$35:$G$35,1,S4))/12</f>
        <v/>
      </c>
      <c r="T30" s="3">
        <f>T27-(INDEX(Annual!$C$30:$G$30,1,T4)+INDEX(Annual!$C$23:$G$23,1,T4)+INDEX(Annual!$C$33:$G$33,1,T4)+INDEX(Annual!$C$35:$G$35,1,T4))/12</f>
        <v/>
      </c>
      <c r="U30" s="3">
        <f>U27-(INDEX(Annual!$C$30:$G$30,1,U4)+INDEX(Annual!$C$23:$G$23,1,U4)+INDEX(Annual!$C$33:$G$33,1,U4)+INDEX(Annual!$C$35:$G$35,1,U4))/12</f>
        <v/>
      </c>
      <c r="V30" s="3">
        <f>V27-(INDEX(Annual!$C$30:$G$30,1,V4)+INDEX(Annual!$C$23:$G$23,1,V4)+INDEX(Annual!$C$33:$G$33,1,V4)+INDEX(Annual!$C$35:$G$35,1,V4))/12</f>
        <v/>
      </c>
      <c r="W30" s="3">
        <f>W27-(INDEX(Annual!$C$30:$G$30,1,W4)+INDEX(Annual!$C$23:$G$23,1,W4)+INDEX(Annual!$C$33:$G$33,1,W4)+INDEX(Annual!$C$35:$G$35,1,W4))/12</f>
        <v/>
      </c>
      <c r="X30" s="3">
        <f>X27-(INDEX(Annual!$C$30:$G$30,1,X4)+INDEX(Annual!$C$23:$G$23,1,X4)+INDEX(Annual!$C$33:$G$33,1,X4)+INDEX(Annual!$C$35:$G$35,1,X4))/12</f>
        <v/>
      </c>
      <c r="Y30" s="3">
        <f>Y27-(INDEX(Annual!$C$30:$G$30,1,Y4)+INDEX(Annual!$C$23:$G$23,1,Y4)+INDEX(Annual!$C$33:$G$33,1,Y4)+INDEX(Annual!$C$35:$G$35,1,Y4))/12</f>
        <v/>
      </c>
      <c r="Z30" s="3">
        <f>Z27-(INDEX(Annual!$C$30:$G$30,1,Z4)+INDEX(Annual!$C$23:$G$23,1,Z4)+INDEX(Annual!$C$33:$G$33,1,Z4)+INDEX(Annual!$C$35:$G$35,1,Z4))/12</f>
        <v/>
      </c>
      <c r="AA30" s="3">
        <f>AA27-(INDEX(Annual!$C$30:$G$30,1,AA4)+INDEX(Annual!$C$23:$G$23,1,AA4)+INDEX(Annual!$C$33:$G$33,1,AA4)+INDEX(Annual!$C$35:$G$35,1,AA4))/12</f>
        <v/>
      </c>
      <c r="AB30" s="3">
        <f>AB27-(INDEX(Annual!$C$30:$G$30,1,AB4)+INDEX(Annual!$C$23:$G$23,1,AB4)+INDEX(Annual!$C$33:$G$33,1,AB4)+INDEX(Annual!$C$35:$G$35,1,AB4))/12</f>
        <v/>
      </c>
      <c r="AC30" s="3">
        <f>AC27-(INDEX(Annual!$C$30:$G$30,1,AC4)+INDEX(Annual!$C$23:$G$23,1,AC4)+INDEX(Annual!$C$33:$G$33,1,AC4)+INDEX(Annual!$C$35:$G$35,1,AC4))/12</f>
        <v/>
      </c>
      <c r="AD30" s="3">
        <f>AD27-(INDEX(Annual!$C$30:$G$30,1,AD4)+INDEX(Annual!$C$23:$G$23,1,AD4)+INDEX(Annual!$C$33:$G$33,1,AD4)+INDEX(Annual!$C$35:$G$35,1,AD4))/12</f>
        <v/>
      </c>
      <c r="AE30" s="3">
        <f>AE27-(INDEX(Annual!$C$30:$G$30,1,AE4)+INDEX(Annual!$C$23:$G$23,1,AE4)+INDEX(Annual!$C$33:$G$33,1,AE4)+INDEX(Annual!$C$35:$G$35,1,AE4))/12</f>
        <v/>
      </c>
      <c r="AF30" s="3">
        <f>AF27-(INDEX(Annual!$C$30:$G$30,1,AF4)+INDEX(Annual!$C$23:$G$23,1,AF4)+INDEX(Annual!$C$33:$G$33,1,AF4)+INDEX(Annual!$C$35:$G$35,1,AF4))/12</f>
        <v/>
      </c>
      <c r="AG30" s="3">
        <f>AG27-(INDEX(Annual!$C$30:$G$30,1,AG4)+INDEX(Annual!$C$23:$G$23,1,AG4)+INDEX(Annual!$C$33:$G$33,1,AG4)+INDEX(Annual!$C$35:$G$35,1,AG4))/12</f>
        <v/>
      </c>
      <c r="AH30" s="3">
        <f>AH27-(INDEX(Annual!$C$30:$G$30,1,AH4)+INDEX(Annual!$C$23:$G$23,1,AH4)+INDEX(Annual!$C$33:$G$33,1,AH4)+INDEX(Annual!$C$35:$G$35,1,AH4))/12</f>
        <v/>
      </c>
      <c r="AI30" s="3">
        <f>AI27-(INDEX(Annual!$C$30:$G$30,1,AI4)+INDEX(Annual!$C$23:$G$23,1,AI4)+INDEX(Annual!$C$33:$G$33,1,AI4)+INDEX(Annual!$C$35:$G$35,1,AI4))/12</f>
        <v/>
      </c>
      <c r="AJ30" s="3">
        <f>AJ27-(INDEX(Annual!$C$30:$G$30,1,AJ4)+INDEX(Annual!$C$23:$G$23,1,AJ4)+INDEX(Annual!$C$33:$G$33,1,AJ4)+INDEX(Annual!$C$35:$G$35,1,AJ4))/12</f>
        <v/>
      </c>
      <c r="AK30" s="3">
        <f>AK27-(INDEX(Annual!$C$30:$G$30,1,AK4)+INDEX(Annual!$C$23:$G$23,1,AK4)+INDEX(Annual!$C$33:$G$33,1,AK4)+INDEX(Annual!$C$35:$G$35,1,AK4))/12</f>
        <v/>
      </c>
      <c r="AL30" s="3">
        <f>AL27-(INDEX(Annual!$C$30:$G$30,1,AL4)+INDEX(Annual!$C$23:$G$23,1,AL4)+INDEX(Annual!$C$33:$G$33,1,AL4)+INDEX(Annual!$C$35:$G$35,1,AL4))/12</f>
        <v/>
      </c>
      <c r="AM30" s="3">
        <f>AM27-(INDEX(Annual!$C$30:$G$30,1,AM4)+INDEX(Annual!$C$23:$G$23,1,AM4)+INDEX(Annual!$C$33:$G$33,1,AM4)+INDEX(Annual!$C$35:$G$35,1,AM4))/12</f>
        <v/>
      </c>
      <c r="AN30" s="3">
        <f>AN27-(INDEX(Annual!$C$30:$G$30,1,AN4)+INDEX(Annual!$C$23:$G$23,1,AN4)+INDEX(Annual!$C$33:$G$33,1,AN4)+INDEX(Annual!$C$35:$G$35,1,AN4))/12</f>
        <v/>
      </c>
      <c r="AO30" s="3">
        <f>AO27-(INDEX(Annual!$C$30:$G$30,1,AO4)+INDEX(Annual!$C$23:$G$23,1,AO4)+INDEX(Annual!$C$33:$G$33,1,AO4)+INDEX(Annual!$C$35:$G$35,1,AO4))/12</f>
        <v/>
      </c>
      <c r="AP30" s="3">
        <f>AP27-(INDEX(Annual!$C$30:$G$30,1,AP4)+INDEX(Annual!$C$23:$G$23,1,AP4)+INDEX(Annual!$C$33:$G$33,1,AP4)+INDEX(Annual!$C$35:$G$35,1,AP4))/12</f>
        <v/>
      </c>
      <c r="AQ30" s="3">
        <f>AQ27-(INDEX(Annual!$C$30:$G$30,1,AQ4)+INDEX(Annual!$C$23:$G$23,1,AQ4)+INDEX(Annual!$C$33:$G$33,1,AQ4)+INDEX(Annual!$C$35:$G$35,1,AQ4))/12</f>
        <v/>
      </c>
      <c r="AR30" s="3">
        <f>AR27-(INDEX(Annual!$C$30:$G$30,1,AR4)+INDEX(Annual!$C$23:$G$23,1,AR4)+INDEX(Annual!$C$33:$G$33,1,AR4)+INDEX(Annual!$C$35:$G$35,1,AR4))/12</f>
        <v/>
      </c>
      <c r="AS30" s="3">
        <f>AS27-(INDEX(Annual!$C$30:$G$30,1,AS4)+INDEX(Annual!$C$23:$G$23,1,AS4)+INDEX(Annual!$C$33:$G$33,1,AS4)+INDEX(Annual!$C$35:$G$35,1,AS4))/12</f>
        <v/>
      </c>
      <c r="AT30" s="3">
        <f>AT27-(INDEX(Annual!$C$30:$G$30,1,AT4)+INDEX(Annual!$C$23:$G$23,1,AT4)+INDEX(Annual!$C$33:$G$33,1,AT4)+INDEX(Annual!$C$35:$G$35,1,AT4))/12</f>
        <v/>
      </c>
      <c r="AU30" s="3">
        <f>AU27-(INDEX(Annual!$C$30:$G$30,1,AU4)+INDEX(Annual!$C$23:$G$23,1,AU4)+INDEX(Annual!$C$33:$G$33,1,AU4)+INDEX(Annual!$C$35:$G$35,1,AU4))/12</f>
        <v/>
      </c>
      <c r="AV30" s="3">
        <f>AV27-(INDEX(Annual!$C$30:$G$30,1,AV4)+INDEX(Annual!$C$23:$G$23,1,AV4)+INDEX(Annual!$C$33:$G$33,1,AV4)+INDEX(Annual!$C$35:$G$35,1,AV4))/12</f>
        <v/>
      </c>
      <c r="AW30" s="3">
        <f>AW27-(INDEX(Annual!$C$30:$G$30,1,AW4)+INDEX(Annual!$C$23:$G$23,1,AW4)+INDEX(Annual!$C$33:$G$33,1,AW4)+INDEX(Annual!$C$35:$G$35,1,AW4))/12</f>
        <v/>
      </c>
      <c r="AX30" s="3">
        <f>AX27-(INDEX(Annual!$C$30:$G$30,1,AX4)+INDEX(Annual!$C$23:$G$23,1,AX4)+INDEX(Annual!$C$33:$G$33,1,AX4)+INDEX(Annual!$C$35:$G$35,1,AX4))/12</f>
        <v/>
      </c>
      <c r="AY30" s="3">
        <f>AY27-(INDEX(Annual!$C$30:$G$30,1,AY4)+INDEX(Annual!$C$23:$G$23,1,AY4)+INDEX(Annual!$C$33:$G$33,1,AY4)+INDEX(Annual!$C$35:$G$35,1,AY4))/12</f>
        <v/>
      </c>
      <c r="AZ30" s="3">
        <f>AZ27-(INDEX(Annual!$C$30:$G$30,1,AZ4)+INDEX(Annual!$C$23:$G$23,1,AZ4)+INDEX(Annual!$C$33:$G$33,1,AZ4)+INDEX(Annual!$C$35:$G$35,1,AZ4))/12</f>
        <v/>
      </c>
      <c r="BA30" s="3">
        <f>BA27-(INDEX(Annual!$C$30:$G$30,1,BA4)+INDEX(Annual!$C$23:$G$23,1,BA4)+INDEX(Annual!$C$33:$G$33,1,BA4)+INDEX(Annual!$C$35:$G$35,1,BA4))/12</f>
        <v/>
      </c>
      <c r="BB30" s="3">
        <f>BB27-(INDEX(Annual!$C$30:$G$30,1,BB4)+INDEX(Annual!$C$23:$G$23,1,BB4)+INDEX(Annual!$C$33:$G$33,1,BB4)+INDEX(Annual!$C$35:$G$35,1,BB4))/12</f>
        <v/>
      </c>
      <c r="BC30" s="3">
        <f>BC27-(INDEX(Annual!$C$30:$G$30,1,BC4)+INDEX(Annual!$C$23:$G$23,1,BC4)+INDEX(Annual!$C$33:$G$33,1,BC4)+INDEX(Annual!$C$35:$G$35,1,BC4))/12</f>
        <v/>
      </c>
      <c r="BD30" s="3">
        <f>BD27-(INDEX(Annual!$C$30:$G$30,1,BD4)+INDEX(Annual!$C$23:$G$23,1,BD4)+INDEX(Annual!$C$33:$G$33,1,BD4)+INDEX(Annual!$C$35:$G$35,1,BD4))/12</f>
        <v/>
      </c>
      <c r="BE30" s="3">
        <f>BE27-(INDEX(Annual!$C$30:$G$30,1,BE4)+INDEX(Annual!$C$23:$G$23,1,BE4)+INDEX(Annual!$C$33:$G$33,1,BE4)+INDEX(Annual!$C$35:$G$35,1,BE4))/12</f>
        <v/>
      </c>
      <c r="BF30" s="3">
        <f>BF27-(INDEX(Annual!$C$30:$G$30,1,BF4)+INDEX(Annual!$C$23:$G$23,1,BF4)+INDEX(Annual!$C$33:$G$33,1,BF4)+INDEX(Annual!$C$35:$G$35,1,BF4))/12</f>
        <v/>
      </c>
      <c r="BG30" s="3">
        <f>BG27-(INDEX(Annual!$C$30:$G$30,1,BG4)+INDEX(Annual!$C$23:$G$23,1,BG4)+INDEX(Annual!$C$33:$G$33,1,BG4)+INDEX(Annual!$C$35:$G$35,1,BG4))/12</f>
        <v/>
      </c>
      <c r="BH30" s="3">
        <f>BH27-(INDEX(Annual!$C$30:$G$30,1,BH4)+INDEX(Annual!$C$23:$G$23,1,BH4)+INDEX(Annual!$C$33:$G$33,1,BH4)+INDEX(Annual!$C$35:$G$35,1,BH4))/12</f>
        <v/>
      </c>
      <c r="BI30" s="3">
        <f>BI27-(INDEX(Annual!$C$30:$G$30,1,BI4)+INDEX(Annual!$C$23:$G$23,1,BI4)+INDEX(Annual!$C$33:$G$33,1,BI4)+INDEX(Annual!$C$35:$G$35,1,BI4))/12</f>
        <v/>
      </c>
      <c r="BJ30" s="3">
        <f>BJ27-(INDEX(Annual!$C$30:$G$30,1,BJ4)+INDEX(Annual!$C$23:$G$23,1,BJ4)+INDEX(Annual!$C$33:$G$33,1,BJ4)+INDEX(Annual!$C$35:$G$35,1,BJ4))/12</f>
        <v/>
      </c>
    </row>
    <row r="31">
      <c r="A31" s="18" t="inlineStr">
        <is>
          <t>Cumulative cash (after investment)</t>
        </is>
      </c>
      <c r="C31" s="3">
        <f>-INDEX(Capex!$C$15:$E$15,1,Inputs!$E$17)+C30</f>
        <v/>
      </c>
      <c r="D31" s="3">
        <f>C31+D30</f>
        <v/>
      </c>
      <c r="E31" s="3">
        <f>D31+E30</f>
        <v/>
      </c>
      <c r="F31" s="3">
        <f>E31+F30</f>
        <v/>
      </c>
      <c r="G31" s="3">
        <f>F31+G30</f>
        <v/>
      </c>
      <c r="H31" s="3">
        <f>G31+H30</f>
        <v/>
      </c>
      <c r="I31" s="3">
        <f>H31+I30</f>
        <v/>
      </c>
      <c r="J31" s="3">
        <f>I31+J30</f>
        <v/>
      </c>
      <c r="K31" s="3">
        <f>J31+K30</f>
        <v/>
      </c>
      <c r="L31" s="3">
        <f>K31+L30</f>
        <v/>
      </c>
      <c r="M31" s="3">
        <f>L31+M30</f>
        <v/>
      </c>
      <c r="N31" s="3">
        <f>M31+N30</f>
        <v/>
      </c>
      <c r="O31" s="3">
        <f>N31+O30</f>
        <v/>
      </c>
      <c r="P31" s="3">
        <f>O31+P30</f>
        <v/>
      </c>
      <c r="Q31" s="3">
        <f>P31+Q30</f>
        <v/>
      </c>
      <c r="R31" s="3">
        <f>Q31+R30</f>
        <v/>
      </c>
      <c r="S31" s="3">
        <f>R31+S30</f>
        <v/>
      </c>
      <c r="T31" s="3">
        <f>S31+T30</f>
        <v/>
      </c>
      <c r="U31" s="3">
        <f>T31+U30</f>
        <v/>
      </c>
      <c r="V31" s="3">
        <f>U31+V30</f>
        <v/>
      </c>
      <c r="W31" s="3">
        <f>V31+W30</f>
        <v/>
      </c>
      <c r="X31" s="3">
        <f>W31+X30</f>
        <v/>
      </c>
      <c r="Y31" s="3">
        <f>X31+Y30</f>
        <v/>
      </c>
      <c r="Z31" s="3">
        <f>Y31+Z30</f>
        <v/>
      </c>
      <c r="AA31" s="3">
        <f>Z31+AA30</f>
        <v/>
      </c>
      <c r="AB31" s="3">
        <f>AA31+AB30</f>
        <v/>
      </c>
      <c r="AC31" s="3">
        <f>AB31+AC30</f>
        <v/>
      </c>
      <c r="AD31" s="3">
        <f>AC31+AD30</f>
        <v/>
      </c>
      <c r="AE31" s="3">
        <f>AD31+AE30</f>
        <v/>
      </c>
      <c r="AF31" s="3">
        <f>AE31+AF30</f>
        <v/>
      </c>
      <c r="AG31" s="3">
        <f>AF31+AG30</f>
        <v/>
      </c>
      <c r="AH31" s="3">
        <f>AG31+AH30</f>
        <v/>
      </c>
      <c r="AI31" s="3">
        <f>AH31+AI30</f>
        <v/>
      </c>
      <c r="AJ31" s="3">
        <f>AI31+AJ30</f>
        <v/>
      </c>
      <c r="AK31" s="3">
        <f>AJ31+AK30</f>
        <v/>
      </c>
      <c r="AL31" s="3">
        <f>AK31+AL30</f>
        <v/>
      </c>
      <c r="AM31" s="3">
        <f>AL31+AM30</f>
        <v/>
      </c>
      <c r="AN31" s="3">
        <f>AM31+AN30</f>
        <v/>
      </c>
      <c r="AO31" s="3">
        <f>AN31+AO30</f>
        <v/>
      </c>
      <c r="AP31" s="3">
        <f>AO31+AP30</f>
        <v/>
      </c>
      <c r="AQ31" s="3">
        <f>AP31+AQ30</f>
        <v/>
      </c>
      <c r="AR31" s="3">
        <f>AQ31+AR30</f>
        <v/>
      </c>
      <c r="AS31" s="3">
        <f>AR31+AS30</f>
        <v/>
      </c>
      <c r="AT31" s="3">
        <f>AS31+AT30</f>
        <v/>
      </c>
      <c r="AU31" s="3">
        <f>AT31+AU30</f>
        <v/>
      </c>
      <c r="AV31" s="3">
        <f>AU31+AV30</f>
        <v/>
      </c>
      <c r="AW31" s="3">
        <f>AV31+AW30</f>
        <v/>
      </c>
      <c r="AX31" s="3">
        <f>AW31+AX30</f>
        <v/>
      </c>
      <c r="AY31" s="3">
        <f>AX31+AY30</f>
        <v/>
      </c>
      <c r="AZ31" s="3">
        <f>AY31+AZ30</f>
        <v/>
      </c>
      <c r="BA31" s="3">
        <f>AZ31+BA30</f>
        <v/>
      </c>
      <c r="BB31" s="3">
        <f>BA31+BB30</f>
        <v/>
      </c>
      <c r="BC31" s="3">
        <f>BB31+BC30</f>
        <v/>
      </c>
      <c r="BD31" s="3">
        <f>BC31+BD30</f>
        <v/>
      </c>
      <c r="BE31" s="3">
        <f>BD31+BE30</f>
        <v/>
      </c>
      <c r="BF31" s="3">
        <f>BE31+BF30</f>
        <v/>
      </c>
      <c r="BG31" s="3">
        <f>BF31+BG30</f>
        <v/>
      </c>
      <c r="BH31" s="3">
        <f>BG31+BH30</f>
        <v/>
      </c>
      <c r="BI31" s="3">
        <f>BH31+BI30</f>
        <v/>
      </c>
      <c r="BJ31" s="3">
        <f>BI31+BJ30</f>
        <v/>
      </c>
    </row>
    <row r="32">
      <c r="A32" t="inlineStr">
        <is>
          <t>Payback flag</t>
        </is>
      </c>
      <c r="C32" s="7">
        <f>IF(C31&gt;=0,C3,999)</f>
        <v/>
      </c>
      <c r="D32" s="7">
        <f>IF(D31&gt;=0,D3,999)</f>
        <v/>
      </c>
      <c r="E32" s="7">
        <f>IF(E31&gt;=0,E3,999)</f>
        <v/>
      </c>
      <c r="F32" s="7">
        <f>IF(F31&gt;=0,F3,999)</f>
        <v/>
      </c>
      <c r="G32" s="7">
        <f>IF(G31&gt;=0,G3,999)</f>
        <v/>
      </c>
      <c r="H32" s="7">
        <f>IF(H31&gt;=0,H3,999)</f>
        <v/>
      </c>
      <c r="I32" s="7">
        <f>IF(I31&gt;=0,I3,999)</f>
        <v/>
      </c>
      <c r="J32" s="7">
        <f>IF(J31&gt;=0,J3,999)</f>
        <v/>
      </c>
      <c r="K32" s="7">
        <f>IF(K31&gt;=0,K3,999)</f>
        <v/>
      </c>
      <c r="L32" s="7">
        <f>IF(L31&gt;=0,L3,999)</f>
        <v/>
      </c>
      <c r="M32" s="7">
        <f>IF(M31&gt;=0,M3,999)</f>
        <v/>
      </c>
      <c r="N32" s="7">
        <f>IF(N31&gt;=0,N3,999)</f>
        <v/>
      </c>
      <c r="O32" s="7">
        <f>IF(O31&gt;=0,O3,999)</f>
        <v/>
      </c>
      <c r="P32" s="7">
        <f>IF(P31&gt;=0,P3,999)</f>
        <v/>
      </c>
      <c r="Q32" s="7">
        <f>IF(Q31&gt;=0,Q3,999)</f>
        <v/>
      </c>
      <c r="R32" s="7">
        <f>IF(R31&gt;=0,R3,999)</f>
        <v/>
      </c>
      <c r="S32" s="7">
        <f>IF(S31&gt;=0,S3,999)</f>
        <v/>
      </c>
      <c r="T32" s="7">
        <f>IF(T31&gt;=0,T3,999)</f>
        <v/>
      </c>
      <c r="U32" s="7">
        <f>IF(U31&gt;=0,U3,999)</f>
        <v/>
      </c>
      <c r="V32" s="7">
        <f>IF(V31&gt;=0,V3,999)</f>
        <v/>
      </c>
      <c r="W32" s="7">
        <f>IF(W31&gt;=0,W3,999)</f>
        <v/>
      </c>
      <c r="X32" s="7">
        <f>IF(X31&gt;=0,X3,999)</f>
        <v/>
      </c>
      <c r="Y32" s="7">
        <f>IF(Y31&gt;=0,Y3,999)</f>
        <v/>
      </c>
      <c r="Z32" s="7">
        <f>IF(Z31&gt;=0,Z3,999)</f>
        <v/>
      </c>
      <c r="AA32" s="7">
        <f>IF(AA31&gt;=0,AA3,999)</f>
        <v/>
      </c>
      <c r="AB32" s="7">
        <f>IF(AB31&gt;=0,AB3,999)</f>
        <v/>
      </c>
      <c r="AC32" s="7">
        <f>IF(AC31&gt;=0,AC3,999)</f>
        <v/>
      </c>
      <c r="AD32" s="7">
        <f>IF(AD31&gt;=0,AD3,999)</f>
        <v/>
      </c>
      <c r="AE32" s="7">
        <f>IF(AE31&gt;=0,AE3,999)</f>
        <v/>
      </c>
      <c r="AF32" s="7">
        <f>IF(AF31&gt;=0,AF3,999)</f>
        <v/>
      </c>
      <c r="AG32" s="7">
        <f>IF(AG31&gt;=0,AG3,999)</f>
        <v/>
      </c>
      <c r="AH32" s="7">
        <f>IF(AH31&gt;=0,AH3,999)</f>
        <v/>
      </c>
      <c r="AI32" s="7">
        <f>IF(AI31&gt;=0,AI3,999)</f>
        <v/>
      </c>
      <c r="AJ32" s="7">
        <f>IF(AJ31&gt;=0,AJ3,999)</f>
        <v/>
      </c>
      <c r="AK32" s="7">
        <f>IF(AK31&gt;=0,AK3,999)</f>
        <v/>
      </c>
      <c r="AL32" s="7">
        <f>IF(AL31&gt;=0,AL3,999)</f>
        <v/>
      </c>
      <c r="AM32" s="7">
        <f>IF(AM31&gt;=0,AM3,999)</f>
        <v/>
      </c>
      <c r="AN32" s="7">
        <f>IF(AN31&gt;=0,AN3,999)</f>
        <v/>
      </c>
      <c r="AO32" s="7">
        <f>IF(AO31&gt;=0,AO3,999)</f>
        <v/>
      </c>
      <c r="AP32" s="7">
        <f>IF(AP31&gt;=0,AP3,999)</f>
        <v/>
      </c>
      <c r="AQ32" s="7">
        <f>IF(AQ31&gt;=0,AQ3,999)</f>
        <v/>
      </c>
      <c r="AR32" s="7">
        <f>IF(AR31&gt;=0,AR3,999)</f>
        <v/>
      </c>
      <c r="AS32" s="7">
        <f>IF(AS31&gt;=0,AS3,999)</f>
        <v/>
      </c>
      <c r="AT32" s="7">
        <f>IF(AT31&gt;=0,AT3,999)</f>
        <v/>
      </c>
      <c r="AU32" s="7">
        <f>IF(AU31&gt;=0,AU3,999)</f>
        <v/>
      </c>
      <c r="AV32" s="7">
        <f>IF(AV31&gt;=0,AV3,999)</f>
        <v/>
      </c>
      <c r="AW32" s="7">
        <f>IF(AW31&gt;=0,AW3,999)</f>
        <v/>
      </c>
      <c r="AX32" s="7">
        <f>IF(AX31&gt;=0,AX3,999)</f>
        <v/>
      </c>
      <c r="AY32" s="7">
        <f>IF(AY31&gt;=0,AY3,999)</f>
        <v/>
      </c>
      <c r="AZ32" s="7">
        <f>IF(AZ31&gt;=0,AZ3,999)</f>
        <v/>
      </c>
      <c r="BA32" s="7">
        <f>IF(BA31&gt;=0,BA3,999)</f>
        <v/>
      </c>
      <c r="BB32" s="7">
        <f>IF(BB31&gt;=0,BB3,999)</f>
        <v/>
      </c>
      <c r="BC32" s="7">
        <f>IF(BC31&gt;=0,BC3,999)</f>
        <v/>
      </c>
      <c r="BD32" s="7">
        <f>IF(BD31&gt;=0,BD3,999)</f>
        <v/>
      </c>
      <c r="BE32" s="7">
        <f>IF(BE31&gt;=0,BE3,999)</f>
        <v/>
      </c>
      <c r="BF32" s="7">
        <f>IF(BF31&gt;=0,BF3,999)</f>
        <v/>
      </c>
      <c r="BG32" s="7">
        <f>IF(BG31&gt;=0,BG3,999)</f>
        <v/>
      </c>
      <c r="BH32" s="7">
        <f>IF(BH31&gt;=0,BH3,999)</f>
        <v/>
      </c>
      <c r="BI32" s="7">
        <f>IF(BI31&gt;=0,BI3,999)</f>
        <v/>
      </c>
      <c r="BJ32" s="7">
        <f>IF(BJ31&gt;=0,BJ3,999)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J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8" t="inlineStr">
        <is>
          <t>CHAMPA — monthly engine — BASE scenario (AMD)</t>
        </is>
      </c>
    </row>
    <row r="2">
      <c r="B2" s="18" t="inlineStr">
        <is>
          <t>Units</t>
        </is>
      </c>
      <c r="C2" s="18">
        <f>CHOOSE(C5,"Jan","Feb","Mar","Apr","May","Jun","Jul","Aug","Sep","Oct","Nov","Dec")&amp;" Y"&amp;C4</f>
        <v/>
      </c>
      <c r="D2" s="18">
        <f>CHOOSE(D5,"Jan","Feb","Mar","Apr","May","Jun","Jul","Aug","Sep","Oct","Nov","Dec")&amp;" Y"&amp;D4</f>
        <v/>
      </c>
      <c r="E2" s="18">
        <f>CHOOSE(E5,"Jan","Feb","Mar","Apr","May","Jun","Jul","Aug","Sep","Oct","Nov","Dec")&amp;" Y"&amp;E4</f>
        <v/>
      </c>
      <c r="F2" s="18">
        <f>CHOOSE(F5,"Jan","Feb","Mar","Apr","May","Jun","Jul","Aug","Sep","Oct","Nov","Dec")&amp;" Y"&amp;F4</f>
        <v/>
      </c>
      <c r="G2" s="18">
        <f>CHOOSE(G5,"Jan","Feb","Mar","Apr","May","Jun","Jul","Aug","Sep","Oct","Nov","Dec")&amp;" Y"&amp;G4</f>
        <v/>
      </c>
      <c r="H2" s="18">
        <f>CHOOSE(H5,"Jan","Feb","Mar","Apr","May","Jun","Jul","Aug","Sep","Oct","Nov","Dec")&amp;" Y"&amp;H4</f>
        <v/>
      </c>
      <c r="I2" s="18">
        <f>CHOOSE(I5,"Jan","Feb","Mar","Apr","May","Jun","Jul","Aug","Sep","Oct","Nov","Dec")&amp;" Y"&amp;I4</f>
        <v/>
      </c>
      <c r="J2" s="18">
        <f>CHOOSE(J5,"Jan","Feb","Mar","Apr","May","Jun","Jul","Aug","Sep","Oct","Nov","Dec")&amp;" Y"&amp;J4</f>
        <v/>
      </c>
      <c r="K2" s="18">
        <f>CHOOSE(K5,"Jan","Feb","Mar","Apr","May","Jun","Jul","Aug","Sep","Oct","Nov","Dec")&amp;" Y"&amp;K4</f>
        <v/>
      </c>
      <c r="L2" s="18">
        <f>CHOOSE(L5,"Jan","Feb","Mar","Apr","May","Jun","Jul","Aug","Sep","Oct","Nov","Dec")&amp;" Y"&amp;L4</f>
        <v/>
      </c>
      <c r="M2" s="18">
        <f>CHOOSE(M5,"Jan","Feb","Mar","Apr","May","Jun","Jul","Aug","Sep","Oct","Nov","Dec")&amp;" Y"&amp;M4</f>
        <v/>
      </c>
      <c r="N2" s="18">
        <f>CHOOSE(N5,"Jan","Feb","Mar","Apr","May","Jun","Jul","Aug","Sep","Oct","Nov","Dec")&amp;" Y"&amp;N4</f>
        <v/>
      </c>
      <c r="O2" s="18">
        <f>CHOOSE(O5,"Jan","Feb","Mar","Apr","May","Jun","Jul","Aug","Sep","Oct","Nov","Dec")&amp;" Y"&amp;O4</f>
        <v/>
      </c>
      <c r="P2" s="18">
        <f>CHOOSE(P5,"Jan","Feb","Mar","Apr","May","Jun","Jul","Aug","Sep","Oct","Nov","Dec")&amp;" Y"&amp;P4</f>
        <v/>
      </c>
      <c r="Q2" s="18">
        <f>CHOOSE(Q5,"Jan","Feb","Mar","Apr","May","Jun","Jul","Aug","Sep","Oct","Nov","Dec")&amp;" Y"&amp;Q4</f>
        <v/>
      </c>
      <c r="R2" s="18">
        <f>CHOOSE(R5,"Jan","Feb","Mar","Apr","May","Jun","Jul","Aug","Sep","Oct","Nov","Dec")&amp;" Y"&amp;R4</f>
        <v/>
      </c>
      <c r="S2" s="18">
        <f>CHOOSE(S5,"Jan","Feb","Mar","Apr","May","Jun","Jul","Aug","Sep","Oct","Nov","Dec")&amp;" Y"&amp;S4</f>
        <v/>
      </c>
      <c r="T2" s="18">
        <f>CHOOSE(T5,"Jan","Feb","Mar","Apr","May","Jun","Jul","Aug","Sep","Oct","Nov","Dec")&amp;" Y"&amp;T4</f>
        <v/>
      </c>
      <c r="U2" s="18">
        <f>CHOOSE(U5,"Jan","Feb","Mar","Apr","May","Jun","Jul","Aug","Sep","Oct","Nov","Dec")&amp;" Y"&amp;U4</f>
        <v/>
      </c>
      <c r="V2" s="18">
        <f>CHOOSE(V5,"Jan","Feb","Mar","Apr","May","Jun","Jul","Aug","Sep","Oct","Nov","Dec")&amp;" Y"&amp;V4</f>
        <v/>
      </c>
      <c r="W2" s="18">
        <f>CHOOSE(W5,"Jan","Feb","Mar","Apr","May","Jun","Jul","Aug","Sep","Oct","Nov","Dec")&amp;" Y"&amp;W4</f>
        <v/>
      </c>
      <c r="X2" s="18">
        <f>CHOOSE(X5,"Jan","Feb","Mar","Apr","May","Jun","Jul","Aug","Sep","Oct","Nov","Dec")&amp;" Y"&amp;X4</f>
        <v/>
      </c>
      <c r="Y2" s="18">
        <f>CHOOSE(Y5,"Jan","Feb","Mar","Apr","May","Jun","Jul","Aug","Sep","Oct","Nov","Dec")&amp;" Y"&amp;Y4</f>
        <v/>
      </c>
      <c r="Z2" s="18">
        <f>CHOOSE(Z5,"Jan","Feb","Mar","Apr","May","Jun","Jul","Aug","Sep","Oct","Nov","Dec")&amp;" Y"&amp;Z4</f>
        <v/>
      </c>
      <c r="AA2" s="18">
        <f>CHOOSE(AA5,"Jan","Feb","Mar","Apr","May","Jun","Jul","Aug","Sep","Oct","Nov","Dec")&amp;" Y"&amp;AA4</f>
        <v/>
      </c>
      <c r="AB2" s="18">
        <f>CHOOSE(AB5,"Jan","Feb","Mar","Apr","May","Jun","Jul","Aug","Sep","Oct","Nov","Dec")&amp;" Y"&amp;AB4</f>
        <v/>
      </c>
      <c r="AC2" s="18">
        <f>CHOOSE(AC5,"Jan","Feb","Mar","Apr","May","Jun","Jul","Aug","Sep","Oct","Nov","Dec")&amp;" Y"&amp;AC4</f>
        <v/>
      </c>
      <c r="AD2" s="18">
        <f>CHOOSE(AD5,"Jan","Feb","Mar","Apr","May","Jun","Jul","Aug","Sep","Oct","Nov","Dec")&amp;" Y"&amp;AD4</f>
        <v/>
      </c>
      <c r="AE2" s="18">
        <f>CHOOSE(AE5,"Jan","Feb","Mar","Apr","May","Jun","Jul","Aug","Sep","Oct","Nov","Dec")&amp;" Y"&amp;AE4</f>
        <v/>
      </c>
      <c r="AF2" s="18">
        <f>CHOOSE(AF5,"Jan","Feb","Mar","Apr","May","Jun","Jul","Aug","Sep","Oct","Nov","Dec")&amp;" Y"&amp;AF4</f>
        <v/>
      </c>
      <c r="AG2" s="18">
        <f>CHOOSE(AG5,"Jan","Feb","Mar","Apr","May","Jun","Jul","Aug","Sep","Oct","Nov","Dec")&amp;" Y"&amp;AG4</f>
        <v/>
      </c>
      <c r="AH2" s="18">
        <f>CHOOSE(AH5,"Jan","Feb","Mar","Apr","May","Jun","Jul","Aug","Sep","Oct","Nov","Dec")&amp;" Y"&amp;AH4</f>
        <v/>
      </c>
      <c r="AI2" s="18">
        <f>CHOOSE(AI5,"Jan","Feb","Mar","Apr","May","Jun","Jul","Aug","Sep","Oct","Nov","Dec")&amp;" Y"&amp;AI4</f>
        <v/>
      </c>
      <c r="AJ2" s="18">
        <f>CHOOSE(AJ5,"Jan","Feb","Mar","Apr","May","Jun","Jul","Aug","Sep","Oct","Nov","Dec")&amp;" Y"&amp;AJ4</f>
        <v/>
      </c>
      <c r="AK2" s="18">
        <f>CHOOSE(AK5,"Jan","Feb","Mar","Apr","May","Jun","Jul","Aug","Sep","Oct","Nov","Dec")&amp;" Y"&amp;AK4</f>
        <v/>
      </c>
      <c r="AL2" s="18">
        <f>CHOOSE(AL5,"Jan","Feb","Mar","Apr","May","Jun","Jul","Aug","Sep","Oct","Nov","Dec")&amp;" Y"&amp;AL4</f>
        <v/>
      </c>
      <c r="AM2" s="18">
        <f>CHOOSE(AM5,"Jan","Feb","Mar","Apr","May","Jun","Jul","Aug","Sep","Oct","Nov","Dec")&amp;" Y"&amp;AM4</f>
        <v/>
      </c>
      <c r="AN2" s="18">
        <f>CHOOSE(AN5,"Jan","Feb","Mar","Apr","May","Jun","Jul","Aug","Sep","Oct","Nov","Dec")&amp;" Y"&amp;AN4</f>
        <v/>
      </c>
      <c r="AO2" s="18">
        <f>CHOOSE(AO5,"Jan","Feb","Mar","Apr","May","Jun","Jul","Aug","Sep","Oct","Nov","Dec")&amp;" Y"&amp;AO4</f>
        <v/>
      </c>
      <c r="AP2" s="18">
        <f>CHOOSE(AP5,"Jan","Feb","Mar","Apr","May","Jun","Jul","Aug","Sep","Oct","Nov","Dec")&amp;" Y"&amp;AP4</f>
        <v/>
      </c>
      <c r="AQ2" s="18">
        <f>CHOOSE(AQ5,"Jan","Feb","Mar","Apr","May","Jun","Jul","Aug","Sep","Oct","Nov","Dec")&amp;" Y"&amp;AQ4</f>
        <v/>
      </c>
      <c r="AR2" s="18">
        <f>CHOOSE(AR5,"Jan","Feb","Mar","Apr","May","Jun","Jul","Aug","Sep","Oct","Nov","Dec")&amp;" Y"&amp;AR4</f>
        <v/>
      </c>
      <c r="AS2" s="18">
        <f>CHOOSE(AS5,"Jan","Feb","Mar","Apr","May","Jun","Jul","Aug","Sep","Oct","Nov","Dec")&amp;" Y"&amp;AS4</f>
        <v/>
      </c>
      <c r="AT2" s="18">
        <f>CHOOSE(AT5,"Jan","Feb","Mar","Apr","May","Jun","Jul","Aug","Sep","Oct","Nov","Dec")&amp;" Y"&amp;AT4</f>
        <v/>
      </c>
      <c r="AU2" s="18">
        <f>CHOOSE(AU5,"Jan","Feb","Mar","Apr","May","Jun","Jul","Aug","Sep","Oct","Nov","Dec")&amp;" Y"&amp;AU4</f>
        <v/>
      </c>
      <c r="AV2" s="18">
        <f>CHOOSE(AV5,"Jan","Feb","Mar","Apr","May","Jun","Jul","Aug","Sep","Oct","Nov","Dec")&amp;" Y"&amp;AV4</f>
        <v/>
      </c>
      <c r="AW2" s="18">
        <f>CHOOSE(AW5,"Jan","Feb","Mar","Apr","May","Jun","Jul","Aug","Sep","Oct","Nov","Dec")&amp;" Y"&amp;AW4</f>
        <v/>
      </c>
      <c r="AX2" s="18">
        <f>CHOOSE(AX5,"Jan","Feb","Mar","Apr","May","Jun","Jul","Aug","Sep","Oct","Nov","Dec")&amp;" Y"&amp;AX4</f>
        <v/>
      </c>
      <c r="AY2" s="18">
        <f>CHOOSE(AY5,"Jan","Feb","Mar","Apr","May","Jun","Jul","Aug","Sep","Oct","Nov","Dec")&amp;" Y"&amp;AY4</f>
        <v/>
      </c>
      <c r="AZ2" s="18">
        <f>CHOOSE(AZ5,"Jan","Feb","Mar","Apr","May","Jun","Jul","Aug","Sep","Oct","Nov","Dec")&amp;" Y"&amp;AZ4</f>
        <v/>
      </c>
      <c r="BA2" s="18">
        <f>CHOOSE(BA5,"Jan","Feb","Mar","Apr","May","Jun","Jul","Aug","Sep","Oct","Nov","Dec")&amp;" Y"&amp;BA4</f>
        <v/>
      </c>
      <c r="BB2" s="18">
        <f>CHOOSE(BB5,"Jan","Feb","Mar","Apr","May","Jun","Jul","Aug","Sep","Oct","Nov","Dec")&amp;" Y"&amp;BB4</f>
        <v/>
      </c>
      <c r="BC2" s="18">
        <f>CHOOSE(BC5,"Jan","Feb","Mar","Apr","May","Jun","Jul","Aug","Sep","Oct","Nov","Dec")&amp;" Y"&amp;BC4</f>
        <v/>
      </c>
      <c r="BD2" s="18">
        <f>CHOOSE(BD5,"Jan","Feb","Mar","Apr","May","Jun","Jul","Aug","Sep","Oct","Nov","Dec")&amp;" Y"&amp;BD4</f>
        <v/>
      </c>
      <c r="BE2" s="18">
        <f>CHOOSE(BE5,"Jan","Feb","Mar","Apr","May","Jun","Jul","Aug","Sep","Oct","Nov","Dec")&amp;" Y"&amp;BE4</f>
        <v/>
      </c>
      <c r="BF2" s="18">
        <f>CHOOSE(BF5,"Jan","Feb","Mar","Apr","May","Jun","Jul","Aug","Sep","Oct","Nov","Dec")&amp;" Y"&amp;BF4</f>
        <v/>
      </c>
      <c r="BG2" s="18">
        <f>CHOOSE(BG5,"Jan","Feb","Mar","Apr","May","Jun","Jul","Aug","Sep","Oct","Nov","Dec")&amp;" Y"&amp;BG4</f>
        <v/>
      </c>
      <c r="BH2" s="18">
        <f>CHOOSE(BH5,"Jan","Feb","Mar","Apr","May","Jun","Jul","Aug","Sep","Oct","Nov","Dec")&amp;" Y"&amp;BH4</f>
        <v/>
      </c>
      <c r="BI2" s="18">
        <f>CHOOSE(BI5,"Jan","Feb","Mar","Apr","May","Jun","Jul","Aug","Sep","Oct","Nov","Dec")&amp;" Y"&amp;BI4</f>
        <v/>
      </c>
      <c r="BJ2" s="18">
        <f>CHOOSE(BJ5,"Jan","Feb","Mar","Apr","May","Jun","Jul","Aug","Sep","Oct","Nov","Dec")&amp;" Y"&amp;BJ4</f>
        <v/>
      </c>
    </row>
    <row r="3">
      <c r="A3" t="inlineStr">
        <is>
          <t>Month #</t>
        </is>
      </c>
      <c r="C3" s="7" t="n">
        <v>1</v>
      </c>
      <c r="D3" s="7" t="n">
        <v>2</v>
      </c>
      <c r="E3" s="7" t="n">
        <v>3</v>
      </c>
      <c r="F3" s="7" t="n">
        <v>4</v>
      </c>
      <c r="G3" s="7" t="n">
        <v>5</v>
      </c>
      <c r="H3" s="7" t="n">
        <v>6</v>
      </c>
      <c r="I3" s="7" t="n">
        <v>7</v>
      </c>
      <c r="J3" s="7" t="n">
        <v>8</v>
      </c>
      <c r="K3" s="7" t="n">
        <v>9</v>
      </c>
      <c r="L3" s="7" t="n">
        <v>10</v>
      </c>
      <c r="M3" s="7" t="n">
        <v>11</v>
      </c>
      <c r="N3" s="7" t="n">
        <v>12</v>
      </c>
      <c r="O3" s="7" t="n">
        <v>13</v>
      </c>
      <c r="P3" s="7" t="n">
        <v>14</v>
      </c>
      <c r="Q3" s="7" t="n">
        <v>15</v>
      </c>
      <c r="R3" s="7" t="n">
        <v>16</v>
      </c>
      <c r="S3" s="7" t="n">
        <v>17</v>
      </c>
      <c r="T3" s="7" t="n">
        <v>18</v>
      </c>
      <c r="U3" s="7" t="n">
        <v>19</v>
      </c>
      <c r="V3" s="7" t="n">
        <v>20</v>
      </c>
      <c r="W3" s="7" t="n">
        <v>21</v>
      </c>
      <c r="X3" s="7" t="n">
        <v>22</v>
      </c>
      <c r="Y3" s="7" t="n">
        <v>23</v>
      </c>
      <c r="Z3" s="7" t="n">
        <v>24</v>
      </c>
      <c r="AA3" s="7" t="n">
        <v>25</v>
      </c>
      <c r="AB3" s="7" t="n">
        <v>26</v>
      </c>
      <c r="AC3" s="7" t="n">
        <v>27</v>
      </c>
      <c r="AD3" s="7" t="n">
        <v>28</v>
      </c>
      <c r="AE3" s="7" t="n">
        <v>29</v>
      </c>
      <c r="AF3" s="7" t="n">
        <v>30</v>
      </c>
      <c r="AG3" s="7" t="n">
        <v>31</v>
      </c>
      <c r="AH3" s="7" t="n">
        <v>32</v>
      </c>
      <c r="AI3" s="7" t="n">
        <v>33</v>
      </c>
      <c r="AJ3" s="7" t="n">
        <v>34</v>
      </c>
      <c r="AK3" s="7" t="n">
        <v>35</v>
      </c>
      <c r="AL3" s="7" t="n">
        <v>36</v>
      </c>
      <c r="AM3" s="7" t="n">
        <v>37</v>
      </c>
      <c r="AN3" s="7" t="n">
        <v>38</v>
      </c>
      <c r="AO3" s="7" t="n">
        <v>39</v>
      </c>
      <c r="AP3" s="7" t="n">
        <v>40</v>
      </c>
      <c r="AQ3" s="7" t="n">
        <v>41</v>
      </c>
      <c r="AR3" s="7" t="n">
        <v>42</v>
      </c>
      <c r="AS3" s="7" t="n">
        <v>43</v>
      </c>
      <c r="AT3" s="7" t="n">
        <v>44</v>
      </c>
      <c r="AU3" s="7" t="n">
        <v>45</v>
      </c>
      <c r="AV3" s="7" t="n">
        <v>46</v>
      </c>
      <c r="AW3" s="7" t="n">
        <v>47</v>
      </c>
      <c r="AX3" s="7" t="n">
        <v>48</v>
      </c>
      <c r="AY3" s="7" t="n">
        <v>49</v>
      </c>
      <c r="AZ3" s="7" t="n">
        <v>50</v>
      </c>
      <c r="BA3" s="7" t="n">
        <v>51</v>
      </c>
      <c r="BB3" s="7" t="n">
        <v>52</v>
      </c>
      <c r="BC3" s="7" t="n">
        <v>53</v>
      </c>
      <c r="BD3" s="7" t="n">
        <v>54</v>
      </c>
      <c r="BE3" s="7" t="n">
        <v>55</v>
      </c>
      <c r="BF3" s="7" t="n">
        <v>56</v>
      </c>
      <c r="BG3" s="7" t="n">
        <v>57</v>
      </c>
      <c r="BH3" s="7" t="n">
        <v>58</v>
      </c>
      <c r="BI3" s="7" t="n">
        <v>59</v>
      </c>
      <c r="BJ3" s="7" t="n">
        <v>60</v>
      </c>
    </row>
    <row r="4">
      <c r="A4" t="inlineStr">
        <is>
          <t>Year</t>
        </is>
      </c>
      <c r="C4" s="7">
        <f>INT((C3-1)/12)+1</f>
        <v/>
      </c>
      <c r="D4" s="7">
        <f>INT((D3-1)/12)+1</f>
        <v/>
      </c>
      <c r="E4" s="7">
        <f>INT((E3-1)/12)+1</f>
        <v/>
      </c>
      <c r="F4" s="7">
        <f>INT((F3-1)/12)+1</f>
        <v/>
      </c>
      <c r="G4" s="7">
        <f>INT((G3-1)/12)+1</f>
        <v/>
      </c>
      <c r="H4" s="7">
        <f>INT((H3-1)/12)+1</f>
        <v/>
      </c>
      <c r="I4" s="7">
        <f>INT((I3-1)/12)+1</f>
        <v/>
      </c>
      <c r="J4" s="7">
        <f>INT((J3-1)/12)+1</f>
        <v/>
      </c>
      <c r="K4" s="7">
        <f>INT((K3-1)/12)+1</f>
        <v/>
      </c>
      <c r="L4" s="7">
        <f>INT((L3-1)/12)+1</f>
        <v/>
      </c>
      <c r="M4" s="7">
        <f>INT((M3-1)/12)+1</f>
        <v/>
      </c>
      <c r="N4" s="7">
        <f>INT((N3-1)/12)+1</f>
        <v/>
      </c>
      <c r="O4" s="7">
        <f>INT((O3-1)/12)+1</f>
        <v/>
      </c>
      <c r="P4" s="7">
        <f>INT((P3-1)/12)+1</f>
        <v/>
      </c>
      <c r="Q4" s="7">
        <f>INT((Q3-1)/12)+1</f>
        <v/>
      </c>
      <c r="R4" s="7">
        <f>INT((R3-1)/12)+1</f>
        <v/>
      </c>
      <c r="S4" s="7">
        <f>INT((S3-1)/12)+1</f>
        <v/>
      </c>
      <c r="T4" s="7">
        <f>INT((T3-1)/12)+1</f>
        <v/>
      </c>
      <c r="U4" s="7">
        <f>INT((U3-1)/12)+1</f>
        <v/>
      </c>
      <c r="V4" s="7">
        <f>INT((V3-1)/12)+1</f>
        <v/>
      </c>
      <c r="W4" s="7">
        <f>INT((W3-1)/12)+1</f>
        <v/>
      </c>
      <c r="X4" s="7">
        <f>INT((X3-1)/12)+1</f>
        <v/>
      </c>
      <c r="Y4" s="7">
        <f>INT((Y3-1)/12)+1</f>
        <v/>
      </c>
      <c r="Z4" s="7">
        <f>INT((Z3-1)/12)+1</f>
        <v/>
      </c>
      <c r="AA4" s="7">
        <f>INT((AA3-1)/12)+1</f>
        <v/>
      </c>
      <c r="AB4" s="7">
        <f>INT((AB3-1)/12)+1</f>
        <v/>
      </c>
      <c r="AC4" s="7">
        <f>INT((AC3-1)/12)+1</f>
        <v/>
      </c>
      <c r="AD4" s="7">
        <f>INT((AD3-1)/12)+1</f>
        <v/>
      </c>
      <c r="AE4" s="7">
        <f>INT((AE3-1)/12)+1</f>
        <v/>
      </c>
      <c r="AF4" s="7">
        <f>INT((AF3-1)/12)+1</f>
        <v/>
      </c>
      <c r="AG4" s="7">
        <f>INT((AG3-1)/12)+1</f>
        <v/>
      </c>
      <c r="AH4" s="7">
        <f>INT((AH3-1)/12)+1</f>
        <v/>
      </c>
      <c r="AI4" s="7">
        <f>INT((AI3-1)/12)+1</f>
        <v/>
      </c>
      <c r="AJ4" s="7">
        <f>INT((AJ3-1)/12)+1</f>
        <v/>
      </c>
      <c r="AK4" s="7">
        <f>INT((AK3-1)/12)+1</f>
        <v/>
      </c>
      <c r="AL4" s="7">
        <f>INT((AL3-1)/12)+1</f>
        <v/>
      </c>
      <c r="AM4" s="7">
        <f>INT((AM3-1)/12)+1</f>
        <v/>
      </c>
      <c r="AN4" s="7">
        <f>INT((AN3-1)/12)+1</f>
        <v/>
      </c>
      <c r="AO4" s="7">
        <f>INT((AO3-1)/12)+1</f>
        <v/>
      </c>
      <c r="AP4" s="7">
        <f>INT((AP3-1)/12)+1</f>
        <v/>
      </c>
      <c r="AQ4" s="7">
        <f>INT((AQ3-1)/12)+1</f>
        <v/>
      </c>
      <c r="AR4" s="7">
        <f>INT((AR3-1)/12)+1</f>
        <v/>
      </c>
      <c r="AS4" s="7">
        <f>INT((AS3-1)/12)+1</f>
        <v/>
      </c>
      <c r="AT4" s="7">
        <f>INT((AT3-1)/12)+1</f>
        <v/>
      </c>
      <c r="AU4" s="7">
        <f>INT((AU3-1)/12)+1</f>
        <v/>
      </c>
      <c r="AV4" s="7">
        <f>INT((AV3-1)/12)+1</f>
        <v/>
      </c>
      <c r="AW4" s="7">
        <f>INT((AW3-1)/12)+1</f>
        <v/>
      </c>
      <c r="AX4" s="7">
        <f>INT((AX3-1)/12)+1</f>
        <v/>
      </c>
      <c r="AY4" s="7">
        <f>INT((AY3-1)/12)+1</f>
        <v/>
      </c>
      <c r="AZ4" s="7">
        <f>INT((AZ3-1)/12)+1</f>
        <v/>
      </c>
      <c r="BA4" s="7">
        <f>INT((BA3-1)/12)+1</f>
        <v/>
      </c>
      <c r="BB4" s="7">
        <f>INT((BB3-1)/12)+1</f>
        <v/>
      </c>
      <c r="BC4" s="7">
        <f>INT((BC3-1)/12)+1</f>
        <v/>
      </c>
      <c r="BD4" s="7">
        <f>INT((BD3-1)/12)+1</f>
        <v/>
      </c>
      <c r="BE4" s="7">
        <f>INT((BE3-1)/12)+1</f>
        <v/>
      </c>
      <c r="BF4" s="7">
        <f>INT((BF3-1)/12)+1</f>
        <v/>
      </c>
      <c r="BG4" s="7">
        <f>INT((BG3-1)/12)+1</f>
        <v/>
      </c>
      <c r="BH4" s="7">
        <f>INT((BH3-1)/12)+1</f>
        <v/>
      </c>
      <c r="BI4" s="7">
        <f>INT((BI3-1)/12)+1</f>
        <v/>
      </c>
      <c r="BJ4" s="7">
        <f>INT((BJ3-1)/12)+1</f>
        <v/>
      </c>
    </row>
    <row r="5">
      <c r="A5" t="inlineStr">
        <is>
          <t>Calendar month (1-12)</t>
        </is>
      </c>
      <c r="C5" s="7">
        <f>MOD(Inputs!$E$8-1+C3-1,12)+1</f>
        <v/>
      </c>
      <c r="D5" s="7">
        <f>MOD(Inputs!$E$8-1+D3-1,12)+1</f>
        <v/>
      </c>
      <c r="E5" s="7">
        <f>MOD(Inputs!$E$8-1+E3-1,12)+1</f>
        <v/>
      </c>
      <c r="F5" s="7">
        <f>MOD(Inputs!$E$8-1+F3-1,12)+1</f>
        <v/>
      </c>
      <c r="G5" s="7">
        <f>MOD(Inputs!$E$8-1+G3-1,12)+1</f>
        <v/>
      </c>
      <c r="H5" s="7">
        <f>MOD(Inputs!$E$8-1+H3-1,12)+1</f>
        <v/>
      </c>
      <c r="I5" s="7">
        <f>MOD(Inputs!$E$8-1+I3-1,12)+1</f>
        <v/>
      </c>
      <c r="J5" s="7">
        <f>MOD(Inputs!$E$8-1+J3-1,12)+1</f>
        <v/>
      </c>
      <c r="K5" s="7">
        <f>MOD(Inputs!$E$8-1+K3-1,12)+1</f>
        <v/>
      </c>
      <c r="L5" s="7">
        <f>MOD(Inputs!$E$8-1+L3-1,12)+1</f>
        <v/>
      </c>
      <c r="M5" s="7">
        <f>MOD(Inputs!$E$8-1+M3-1,12)+1</f>
        <v/>
      </c>
      <c r="N5" s="7">
        <f>MOD(Inputs!$E$8-1+N3-1,12)+1</f>
        <v/>
      </c>
      <c r="O5" s="7">
        <f>MOD(Inputs!$E$8-1+O3-1,12)+1</f>
        <v/>
      </c>
      <c r="P5" s="7">
        <f>MOD(Inputs!$E$8-1+P3-1,12)+1</f>
        <v/>
      </c>
      <c r="Q5" s="7">
        <f>MOD(Inputs!$E$8-1+Q3-1,12)+1</f>
        <v/>
      </c>
      <c r="R5" s="7">
        <f>MOD(Inputs!$E$8-1+R3-1,12)+1</f>
        <v/>
      </c>
      <c r="S5" s="7">
        <f>MOD(Inputs!$E$8-1+S3-1,12)+1</f>
        <v/>
      </c>
      <c r="T5" s="7">
        <f>MOD(Inputs!$E$8-1+T3-1,12)+1</f>
        <v/>
      </c>
      <c r="U5" s="7">
        <f>MOD(Inputs!$E$8-1+U3-1,12)+1</f>
        <v/>
      </c>
      <c r="V5" s="7">
        <f>MOD(Inputs!$E$8-1+V3-1,12)+1</f>
        <v/>
      </c>
      <c r="W5" s="7">
        <f>MOD(Inputs!$E$8-1+W3-1,12)+1</f>
        <v/>
      </c>
      <c r="X5" s="7">
        <f>MOD(Inputs!$E$8-1+X3-1,12)+1</f>
        <v/>
      </c>
      <c r="Y5" s="7">
        <f>MOD(Inputs!$E$8-1+Y3-1,12)+1</f>
        <v/>
      </c>
      <c r="Z5" s="7">
        <f>MOD(Inputs!$E$8-1+Z3-1,12)+1</f>
        <v/>
      </c>
      <c r="AA5" s="7">
        <f>MOD(Inputs!$E$8-1+AA3-1,12)+1</f>
        <v/>
      </c>
      <c r="AB5" s="7">
        <f>MOD(Inputs!$E$8-1+AB3-1,12)+1</f>
        <v/>
      </c>
      <c r="AC5" s="7">
        <f>MOD(Inputs!$E$8-1+AC3-1,12)+1</f>
        <v/>
      </c>
      <c r="AD5" s="7">
        <f>MOD(Inputs!$E$8-1+AD3-1,12)+1</f>
        <v/>
      </c>
      <c r="AE5" s="7">
        <f>MOD(Inputs!$E$8-1+AE3-1,12)+1</f>
        <v/>
      </c>
      <c r="AF5" s="7">
        <f>MOD(Inputs!$E$8-1+AF3-1,12)+1</f>
        <v/>
      </c>
      <c r="AG5" s="7">
        <f>MOD(Inputs!$E$8-1+AG3-1,12)+1</f>
        <v/>
      </c>
      <c r="AH5" s="7">
        <f>MOD(Inputs!$E$8-1+AH3-1,12)+1</f>
        <v/>
      </c>
      <c r="AI5" s="7">
        <f>MOD(Inputs!$E$8-1+AI3-1,12)+1</f>
        <v/>
      </c>
      <c r="AJ5" s="7">
        <f>MOD(Inputs!$E$8-1+AJ3-1,12)+1</f>
        <v/>
      </c>
      <c r="AK5" s="7">
        <f>MOD(Inputs!$E$8-1+AK3-1,12)+1</f>
        <v/>
      </c>
      <c r="AL5" s="7">
        <f>MOD(Inputs!$E$8-1+AL3-1,12)+1</f>
        <v/>
      </c>
      <c r="AM5" s="7">
        <f>MOD(Inputs!$E$8-1+AM3-1,12)+1</f>
        <v/>
      </c>
      <c r="AN5" s="7">
        <f>MOD(Inputs!$E$8-1+AN3-1,12)+1</f>
        <v/>
      </c>
      <c r="AO5" s="7">
        <f>MOD(Inputs!$E$8-1+AO3-1,12)+1</f>
        <v/>
      </c>
      <c r="AP5" s="7">
        <f>MOD(Inputs!$E$8-1+AP3-1,12)+1</f>
        <v/>
      </c>
      <c r="AQ5" s="7">
        <f>MOD(Inputs!$E$8-1+AQ3-1,12)+1</f>
        <v/>
      </c>
      <c r="AR5" s="7">
        <f>MOD(Inputs!$E$8-1+AR3-1,12)+1</f>
        <v/>
      </c>
      <c r="AS5" s="7">
        <f>MOD(Inputs!$E$8-1+AS3-1,12)+1</f>
        <v/>
      </c>
      <c r="AT5" s="7">
        <f>MOD(Inputs!$E$8-1+AT3-1,12)+1</f>
        <v/>
      </c>
      <c r="AU5" s="7">
        <f>MOD(Inputs!$E$8-1+AU3-1,12)+1</f>
        <v/>
      </c>
      <c r="AV5" s="7">
        <f>MOD(Inputs!$E$8-1+AV3-1,12)+1</f>
        <v/>
      </c>
      <c r="AW5" s="7">
        <f>MOD(Inputs!$E$8-1+AW3-1,12)+1</f>
        <v/>
      </c>
      <c r="AX5" s="7">
        <f>MOD(Inputs!$E$8-1+AX3-1,12)+1</f>
        <v/>
      </c>
      <c r="AY5" s="7">
        <f>MOD(Inputs!$E$8-1+AY3-1,12)+1</f>
        <v/>
      </c>
      <c r="AZ5" s="7">
        <f>MOD(Inputs!$E$8-1+AZ3-1,12)+1</f>
        <v/>
      </c>
      <c r="BA5" s="7">
        <f>MOD(Inputs!$E$8-1+BA3-1,12)+1</f>
        <v/>
      </c>
      <c r="BB5" s="7">
        <f>MOD(Inputs!$E$8-1+BB3-1,12)+1</f>
        <v/>
      </c>
      <c r="BC5" s="7">
        <f>MOD(Inputs!$E$8-1+BC3-1,12)+1</f>
        <v/>
      </c>
      <c r="BD5" s="7">
        <f>MOD(Inputs!$E$8-1+BD3-1,12)+1</f>
        <v/>
      </c>
      <c r="BE5" s="7">
        <f>MOD(Inputs!$E$8-1+BE3-1,12)+1</f>
        <v/>
      </c>
      <c r="BF5" s="7">
        <f>MOD(Inputs!$E$8-1+BF3-1,12)+1</f>
        <v/>
      </c>
      <c r="BG5" s="7">
        <f>MOD(Inputs!$E$8-1+BG3-1,12)+1</f>
        <v/>
      </c>
      <c r="BH5" s="7">
        <f>MOD(Inputs!$E$8-1+BH3-1,12)+1</f>
        <v/>
      </c>
      <c r="BI5" s="7">
        <f>MOD(Inputs!$E$8-1+BI3-1,12)+1</f>
        <v/>
      </c>
      <c r="BJ5" s="7">
        <f>MOD(Inputs!$E$8-1+BJ3-1,12)+1</f>
        <v/>
      </c>
    </row>
    <row r="6">
      <c r="A6" t="inlineStr">
        <is>
          <t>Trading days</t>
        </is>
      </c>
      <c r="C6" s="24">
        <f>CHOOSE(C5,31,28,31,30,31,30,31,31,30,31,30,31)*Inputs!$E$9/365</f>
        <v/>
      </c>
      <c r="D6" s="24">
        <f>CHOOSE(D5,31,28,31,30,31,30,31,31,30,31,30,31)*Inputs!$E$9/365</f>
        <v/>
      </c>
      <c r="E6" s="24">
        <f>CHOOSE(E5,31,28,31,30,31,30,31,31,30,31,30,31)*Inputs!$E$9/365</f>
        <v/>
      </c>
      <c r="F6" s="24">
        <f>CHOOSE(F5,31,28,31,30,31,30,31,31,30,31,30,31)*Inputs!$E$9/365</f>
        <v/>
      </c>
      <c r="G6" s="24">
        <f>CHOOSE(G5,31,28,31,30,31,30,31,31,30,31,30,31)*Inputs!$E$9/365</f>
        <v/>
      </c>
      <c r="H6" s="24">
        <f>CHOOSE(H5,31,28,31,30,31,30,31,31,30,31,30,31)*Inputs!$E$9/365</f>
        <v/>
      </c>
      <c r="I6" s="24">
        <f>CHOOSE(I5,31,28,31,30,31,30,31,31,30,31,30,31)*Inputs!$E$9/365</f>
        <v/>
      </c>
      <c r="J6" s="24">
        <f>CHOOSE(J5,31,28,31,30,31,30,31,31,30,31,30,31)*Inputs!$E$9/365</f>
        <v/>
      </c>
      <c r="K6" s="24">
        <f>CHOOSE(K5,31,28,31,30,31,30,31,31,30,31,30,31)*Inputs!$E$9/365</f>
        <v/>
      </c>
      <c r="L6" s="24">
        <f>CHOOSE(L5,31,28,31,30,31,30,31,31,30,31,30,31)*Inputs!$E$9/365</f>
        <v/>
      </c>
      <c r="M6" s="24">
        <f>CHOOSE(M5,31,28,31,30,31,30,31,31,30,31,30,31)*Inputs!$E$9/365</f>
        <v/>
      </c>
      <c r="N6" s="24">
        <f>CHOOSE(N5,31,28,31,30,31,30,31,31,30,31,30,31)*Inputs!$E$9/365</f>
        <v/>
      </c>
      <c r="O6" s="24">
        <f>CHOOSE(O5,31,28,31,30,31,30,31,31,30,31,30,31)*Inputs!$E$9/365</f>
        <v/>
      </c>
      <c r="P6" s="24">
        <f>CHOOSE(P5,31,28,31,30,31,30,31,31,30,31,30,31)*Inputs!$E$9/365</f>
        <v/>
      </c>
      <c r="Q6" s="24">
        <f>CHOOSE(Q5,31,28,31,30,31,30,31,31,30,31,30,31)*Inputs!$E$9/365</f>
        <v/>
      </c>
      <c r="R6" s="24">
        <f>CHOOSE(R5,31,28,31,30,31,30,31,31,30,31,30,31)*Inputs!$E$9/365</f>
        <v/>
      </c>
      <c r="S6" s="24">
        <f>CHOOSE(S5,31,28,31,30,31,30,31,31,30,31,30,31)*Inputs!$E$9/365</f>
        <v/>
      </c>
      <c r="T6" s="24">
        <f>CHOOSE(T5,31,28,31,30,31,30,31,31,30,31,30,31)*Inputs!$E$9/365</f>
        <v/>
      </c>
      <c r="U6" s="24">
        <f>CHOOSE(U5,31,28,31,30,31,30,31,31,30,31,30,31)*Inputs!$E$9/365</f>
        <v/>
      </c>
      <c r="V6" s="24">
        <f>CHOOSE(V5,31,28,31,30,31,30,31,31,30,31,30,31)*Inputs!$E$9/365</f>
        <v/>
      </c>
      <c r="W6" s="24">
        <f>CHOOSE(W5,31,28,31,30,31,30,31,31,30,31,30,31)*Inputs!$E$9/365</f>
        <v/>
      </c>
      <c r="X6" s="24">
        <f>CHOOSE(X5,31,28,31,30,31,30,31,31,30,31,30,31)*Inputs!$E$9/365</f>
        <v/>
      </c>
      <c r="Y6" s="24">
        <f>CHOOSE(Y5,31,28,31,30,31,30,31,31,30,31,30,31)*Inputs!$E$9/365</f>
        <v/>
      </c>
      <c r="Z6" s="24">
        <f>CHOOSE(Z5,31,28,31,30,31,30,31,31,30,31,30,31)*Inputs!$E$9/365</f>
        <v/>
      </c>
      <c r="AA6" s="24">
        <f>CHOOSE(AA5,31,28,31,30,31,30,31,31,30,31,30,31)*Inputs!$E$9/365</f>
        <v/>
      </c>
      <c r="AB6" s="24">
        <f>CHOOSE(AB5,31,28,31,30,31,30,31,31,30,31,30,31)*Inputs!$E$9/365</f>
        <v/>
      </c>
      <c r="AC6" s="24">
        <f>CHOOSE(AC5,31,28,31,30,31,30,31,31,30,31,30,31)*Inputs!$E$9/365</f>
        <v/>
      </c>
      <c r="AD6" s="24">
        <f>CHOOSE(AD5,31,28,31,30,31,30,31,31,30,31,30,31)*Inputs!$E$9/365</f>
        <v/>
      </c>
      <c r="AE6" s="24">
        <f>CHOOSE(AE5,31,28,31,30,31,30,31,31,30,31,30,31)*Inputs!$E$9/365</f>
        <v/>
      </c>
      <c r="AF6" s="24">
        <f>CHOOSE(AF5,31,28,31,30,31,30,31,31,30,31,30,31)*Inputs!$E$9/365</f>
        <v/>
      </c>
      <c r="AG6" s="24">
        <f>CHOOSE(AG5,31,28,31,30,31,30,31,31,30,31,30,31)*Inputs!$E$9/365</f>
        <v/>
      </c>
      <c r="AH6" s="24">
        <f>CHOOSE(AH5,31,28,31,30,31,30,31,31,30,31,30,31)*Inputs!$E$9/365</f>
        <v/>
      </c>
      <c r="AI6" s="24">
        <f>CHOOSE(AI5,31,28,31,30,31,30,31,31,30,31,30,31)*Inputs!$E$9/365</f>
        <v/>
      </c>
      <c r="AJ6" s="24">
        <f>CHOOSE(AJ5,31,28,31,30,31,30,31,31,30,31,30,31)*Inputs!$E$9/365</f>
        <v/>
      </c>
      <c r="AK6" s="24">
        <f>CHOOSE(AK5,31,28,31,30,31,30,31,31,30,31,30,31)*Inputs!$E$9/365</f>
        <v/>
      </c>
      <c r="AL6" s="24">
        <f>CHOOSE(AL5,31,28,31,30,31,30,31,31,30,31,30,31)*Inputs!$E$9/365</f>
        <v/>
      </c>
      <c r="AM6" s="24">
        <f>CHOOSE(AM5,31,28,31,30,31,30,31,31,30,31,30,31)*Inputs!$E$9/365</f>
        <v/>
      </c>
      <c r="AN6" s="24">
        <f>CHOOSE(AN5,31,28,31,30,31,30,31,31,30,31,30,31)*Inputs!$E$9/365</f>
        <v/>
      </c>
      <c r="AO6" s="24">
        <f>CHOOSE(AO5,31,28,31,30,31,30,31,31,30,31,30,31)*Inputs!$E$9/365</f>
        <v/>
      </c>
      <c r="AP6" s="24">
        <f>CHOOSE(AP5,31,28,31,30,31,30,31,31,30,31,30,31)*Inputs!$E$9/365</f>
        <v/>
      </c>
      <c r="AQ6" s="24">
        <f>CHOOSE(AQ5,31,28,31,30,31,30,31,31,30,31,30,31)*Inputs!$E$9/365</f>
        <v/>
      </c>
      <c r="AR6" s="24">
        <f>CHOOSE(AR5,31,28,31,30,31,30,31,31,30,31,30,31)*Inputs!$E$9/365</f>
        <v/>
      </c>
      <c r="AS6" s="24">
        <f>CHOOSE(AS5,31,28,31,30,31,30,31,31,30,31,30,31)*Inputs!$E$9/365</f>
        <v/>
      </c>
      <c r="AT6" s="24">
        <f>CHOOSE(AT5,31,28,31,30,31,30,31,31,30,31,30,31)*Inputs!$E$9/365</f>
        <v/>
      </c>
      <c r="AU6" s="24">
        <f>CHOOSE(AU5,31,28,31,30,31,30,31,31,30,31,30,31)*Inputs!$E$9/365</f>
        <v/>
      </c>
      <c r="AV6" s="24">
        <f>CHOOSE(AV5,31,28,31,30,31,30,31,31,30,31,30,31)*Inputs!$E$9/365</f>
        <v/>
      </c>
      <c r="AW6" s="24">
        <f>CHOOSE(AW5,31,28,31,30,31,30,31,31,30,31,30,31)*Inputs!$E$9/365</f>
        <v/>
      </c>
      <c r="AX6" s="24">
        <f>CHOOSE(AX5,31,28,31,30,31,30,31,31,30,31,30,31)*Inputs!$E$9/365</f>
        <v/>
      </c>
      <c r="AY6" s="24">
        <f>CHOOSE(AY5,31,28,31,30,31,30,31,31,30,31,30,31)*Inputs!$E$9/365</f>
        <v/>
      </c>
      <c r="AZ6" s="24">
        <f>CHOOSE(AZ5,31,28,31,30,31,30,31,31,30,31,30,31)*Inputs!$E$9/365</f>
        <v/>
      </c>
      <c r="BA6" s="24">
        <f>CHOOSE(BA5,31,28,31,30,31,30,31,31,30,31,30,31)*Inputs!$E$9/365</f>
        <v/>
      </c>
      <c r="BB6" s="24">
        <f>CHOOSE(BB5,31,28,31,30,31,30,31,31,30,31,30,31)*Inputs!$E$9/365</f>
        <v/>
      </c>
      <c r="BC6" s="24">
        <f>CHOOSE(BC5,31,28,31,30,31,30,31,31,30,31,30,31)*Inputs!$E$9/365</f>
        <v/>
      </c>
      <c r="BD6" s="24">
        <f>CHOOSE(BD5,31,28,31,30,31,30,31,31,30,31,30,31)*Inputs!$E$9/365</f>
        <v/>
      </c>
      <c r="BE6" s="24">
        <f>CHOOSE(BE5,31,28,31,30,31,30,31,31,30,31,30,31)*Inputs!$E$9/365</f>
        <v/>
      </c>
      <c r="BF6" s="24">
        <f>CHOOSE(BF5,31,28,31,30,31,30,31,31,30,31,30,31)*Inputs!$E$9/365</f>
        <v/>
      </c>
      <c r="BG6" s="24">
        <f>CHOOSE(BG5,31,28,31,30,31,30,31,31,30,31,30,31)*Inputs!$E$9/365</f>
        <v/>
      </c>
      <c r="BH6" s="24">
        <f>CHOOSE(BH5,31,28,31,30,31,30,31,31,30,31,30,31)*Inputs!$E$9/365</f>
        <v/>
      </c>
      <c r="BI6" s="24">
        <f>CHOOSE(BI5,31,28,31,30,31,30,31,31,30,31,30,31)*Inputs!$E$9/365</f>
        <v/>
      </c>
      <c r="BJ6" s="24">
        <f>CHOOSE(BJ5,31,28,31,30,31,30,31,31,30,31,30,31)*Inputs!$E$9/365</f>
        <v/>
      </c>
    </row>
    <row r="7">
      <c r="A7" t="inlineStr">
        <is>
          <t>Seasonality index</t>
        </is>
      </c>
      <c r="C7" s="24">
        <f>INDEX(Inputs!$E$31:$E$42,C5)</f>
        <v/>
      </c>
      <c r="D7" s="24">
        <f>INDEX(Inputs!$E$31:$E$42,D5)</f>
        <v/>
      </c>
      <c r="E7" s="24">
        <f>INDEX(Inputs!$E$31:$E$42,E5)</f>
        <v/>
      </c>
      <c r="F7" s="24">
        <f>INDEX(Inputs!$E$31:$E$42,F5)</f>
        <v/>
      </c>
      <c r="G7" s="24">
        <f>INDEX(Inputs!$E$31:$E$42,G5)</f>
        <v/>
      </c>
      <c r="H7" s="24">
        <f>INDEX(Inputs!$E$31:$E$42,H5)</f>
        <v/>
      </c>
      <c r="I7" s="24">
        <f>INDEX(Inputs!$E$31:$E$42,I5)</f>
        <v/>
      </c>
      <c r="J7" s="24">
        <f>INDEX(Inputs!$E$31:$E$42,J5)</f>
        <v/>
      </c>
      <c r="K7" s="24">
        <f>INDEX(Inputs!$E$31:$E$42,K5)</f>
        <v/>
      </c>
      <c r="L7" s="24">
        <f>INDEX(Inputs!$E$31:$E$42,L5)</f>
        <v/>
      </c>
      <c r="M7" s="24">
        <f>INDEX(Inputs!$E$31:$E$42,M5)</f>
        <v/>
      </c>
      <c r="N7" s="24">
        <f>INDEX(Inputs!$E$31:$E$42,N5)</f>
        <v/>
      </c>
      <c r="O7" s="24">
        <f>INDEX(Inputs!$E$31:$E$42,O5)</f>
        <v/>
      </c>
      <c r="P7" s="24">
        <f>INDEX(Inputs!$E$31:$E$42,P5)</f>
        <v/>
      </c>
      <c r="Q7" s="24">
        <f>INDEX(Inputs!$E$31:$E$42,Q5)</f>
        <v/>
      </c>
      <c r="R7" s="24">
        <f>INDEX(Inputs!$E$31:$E$42,R5)</f>
        <v/>
      </c>
      <c r="S7" s="24">
        <f>INDEX(Inputs!$E$31:$E$42,S5)</f>
        <v/>
      </c>
      <c r="T7" s="24">
        <f>INDEX(Inputs!$E$31:$E$42,T5)</f>
        <v/>
      </c>
      <c r="U7" s="24">
        <f>INDEX(Inputs!$E$31:$E$42,U5)</f>
        <v/>
      </c>
      <c r="V7" s="24">
        <f>INDEX(Inputs!$E$31:$E$42,V5)</f>
        <v/>
      </c>
      <c r="W7" s="24">
        <f>INDEX(Inputs!$E$31:$E$42,W5)</f>
        <v/>
      </c>
      <c r="X7" s="24">
        <f>INDEX(Inputs!$E$31:$E$42,X5)</f>
        <v/>
      </c>
      <c r="Y7" s="24">
        <f>INDEX(Inputs!$E$31:$E$42,Y5)</f>
        <v/>
      </c>
      <c r="Z7" s="24">
        <f>INDEX(Inputs!$E$31:$E$42,Z5)</f>
        <v/>
      </c>
      <c r="AA7" s="24">
        <f>INDEX(Inputs!$E$31:$E$42,AA5)</f>
        <v/>
      </c>
      <c r="AB7" s="24">
        <f>INDEX(Inputs!$E$31:$E$42,AB5)</f>
        <v/>
      </c>
      <c r="AC7" s="24">
        <f>INDEX(Inputs!$E$31:$E$42,AC5)</f>
        <v/>
      </c>
      <c r="AD7" s="24">
        <f>INDEX(Inputs!$E$31:$E$42,AD5)</f>
        <v/>
      </c>
      <c r="AE7" s="24">
        <f>INDEX(Inputs!$E$31:$E$42,AE5)</f>
        <v/>
      </c>
      <c r="AF7" s="24">
        <f>INDEX(Inputs!$E$31:$E$42,AF5)</f>
        <v/>
      </c>
      <c r="AG7" s="24">
        <f>INDEX(Inputs!$E$31:$E$42,AG5)</f>
        <v/>
      </c>
      <c r="AH7" s="24">
        <f>INDEX(Inputs!$E$31:$E$42,AH5)</f>
        <v/>
      </c>
      <c r="AI7" s="24">
        <f>INDEX(Inputs!$E$31:$E$42,AI5)</f>
        <v/>
      </c>
      <c r="AJ7" s="24">
        <f>INDEX(Inputs!$E$31:$E$42,AJ5)</f>
        <v/>
      </c>
      <c r="AK7" s="24">
        <f>INDEX(Inputs!$E$31:$E$42,AK5)</f>
        <v/>
      </c>
      <c r="AL7" s="24">
        <f>INDEX(Inputs!$E$31:$E$42,AL5)</f>
        <v/>
      </c>
      <c r="AM7" s="24">
        <f>INDEX(Inputs!$E$31:$E$42,AM5)</f>
        <v/>
      </c>
      <c r="AN7" s="24">
        <f>INDEX(Inputs!$E$31:$E$42,AN5)</f>
        <v/>
      </c>
      <c r="AO7" s="24">
        <f>INDEX(Inputs!$E$31:$E$42,AO5)</f>
        <v/>
      </c>
      <c r="AP7" s="24">
        <f>INDEX(Inputs!$E$31:$E$42,AP5)</f>
        <v/>
      </c>
      <c r="AQ7" s="24">
        <f>INDEX(Inputs!$E$31:$E$42,AQ5)</f>
        <v/>
      </c>
      <c r="AR7" s="24">
        <f>INDEX(Inputs!$E$31:$E$42,AR5)</f>
        <v/>
      </c>
      <c r="AS7" s="24">
        <f>INDEX(Inputs!$E$31:$E$42,AS5)</f>
        <v/>
      </c>
      <c r="AT7" s="24">
        <f>INDEX(Inputs!$E$31:$E$42,AT5)</f>
        <v/>
      </c>
      <c r="AU7" s="24">
        <f>INDEX(Inputs!$E$31:$E$42,AU5)</f>
        <v/>
      </c>
      <c r="AV7" s="24">
        <f>INDEX(Inputs!$E$31:$E$42,AV5)</f>
        <v/>
      </c>
      <c r="AW7" s="24">
        <f>INDEX(Inputs!$E$31:$E$42,AW5)</f>
        <v/>
      </c>
      <c r="AX7" s="24">
        <f>INDEX(Inputs!$E$31:$E$42,AX5)</f>
        <v/>
      </c>
      <c r="AY7" s="24">
        <f>INDEX(Inputs!$E$31:$E$42,AY5)</f>
        <v/>
      </c>
      <c r="AZ7" s="24">
        <f>INDEX(Inputs!$E$31:$E$42,AZ5)</f>
        <v/>
      </c>
      <c r="BA7" s="24">
        <f>INDEX(Inputs!$E$31:$E$42,BA5)</f>
        <v/>
      </c>
      <c r="BB7" s="24">
        <f>INDEX(Inputs!$E$31:$E$42,BB5)</f>
        <v/>
      </c>
      <c r="BC7" s="24">
        <f>INDEX(Inputs!$E$31:$E$42,BC5)</f>
        <v/>
      </c>
      <c r="BD7" s="24">
        <f>INDEX(Inputs!$E$31:$E$42,BD5)</f>
        <v/>
      </c>
      <c r="BE7" s="24">
        <f>INDEX(Inputs!$E$31:$E$42,BE5)</f>
        <v/>
      </c>
      <c r="BF7" s="24">
        <f>INDEX(Inputs!$E$31:$E$42,BF5)</f>
        <v/>
      </c>
      <c r="BG7" s="24">
        <f>INDEX(Inputs!$E$31:$E$42,BG5)</f>
        <v/>
      </c>
      <c r="BH7" s="24">
        <f>INDEX(Inputs!$E$31:$E$42,BH5)</f>
        <v/>
      </c>
      <c r="BI7" s="24">
        <f>INDEX(Inputs!$E$31:$E$42,BI5)</f>
        <v/>
      </c>
      <c r="BJ7" s="24">
        <f>INDEX(Inputs!$E$31:$E$42,BJ5)</f>
        <v/>
      </c>
    </row>
    <row r="8">
      <c r="A8" t="inlineStr">
        <is>
          <t>Passing traffic (veh/day)</t>
        </is>
      </c>
      <c r="C8" s="3">
        <f>Inputs!$E$21*(1+Inputs!$E$22)^(C4-1)*C7</f>
        <v/>
      </c>
      <c r="D8" s="3">
        <f>Inputs!$E$21*(1+Inputs!$E$22)^(D4-1)*D7</f>
        <v/>
      </c>
      <c r="E8" s="3">
        <f>Inputs!$E$21*(1+Inputs!$E$22)^(E4-1)*E7</f>
        <v/>
      </c>
      <c r="F8" s="3">
        <f>Inputs!$E$21*(1+Inputs!$E$22)^(F4-1)*F7</f>
        <v/>
      </c>
      <c r="G8" s="3">
        <f>Inputs!$E$21*(1+Inputs!$E$22)^(G4-1)*G7</f>
        <v/>
      </c>
      <c r="H8" s="3">
        <f>Inputs!$E$21*(1+Inputs!$E$22)^(H4-1)*H7</f>
        <v/>
      </c>
      <c r="I8" s="3">
        <f>Inputs!$E$21*(1+Inputs!$E$22)^(I4-1)*I7</f>
        <v/>
      </c>
      <c r="J8" s="3">
        <f>Inputs!$E$21*(1+Inputs!$E$22)^(J4-1)*J7</f>
        <v/>
      </c>
      <c r="K8" s="3">
        <f>Inputs!$E$21*(1+Inputs!$E$22)^(K4-1)*K7</f>
        <v/>
      </c>
      <c r="L8" s="3">
        <f>Inputs!$E$21*(1+Inputs!$E$22)^(L4-1)*L7</f>
        <v/>
      </c>
      <c r="M8" s="3">
        <f>Inputs!$E$21*(1+Inputs!$E$22)^(M4-1)*M7</f>
        <v/>
      </c>
      <c r="N8" s="3">
        <f>Inputs!$E$21*(1+Inputs!$E$22)^(N4-1)*N7</f>
        <v/>
      </c>
      <c r="O8" s="3">
        <f>Inputs!$E$21*(1+Inputs!$E$22)^(O4-1)*O7</f>
        <v/>
      </c>
      <c r="P8" s="3">
        <f>Inputs!$E$21*(1+Inputs!$E$22)^(P4-1)*P7</f>
        <v/>
      </c>
      <c r="Q8" s="3">
        <f>Inputs!$E$21*(1+Inputs!$E$22)^(Q4-1)*Q7</f>
        <v/>
      </c>
      <c r="R8" s="3">
        <f>Inputs!$E$21*(1+Inputs!$E$22)^(R4-1)*R7</f>
        <v/>
      </c>
      <c r="S8" s="3">
        <f>Inputs!$E$21*(1+Inputs!$E$22)^(S4-1)*S7</f>
        <v/>
      </c>
      <c r="T8" s="3">
        <f>Inputs!$E$21*(1+Inputs!$E$22)^(T4-1)*T7</f>
        <v/>
      </c>
      <c r="U8" s="3">
        <f>Inputs!$E$21*(1+Inputs!$E$22)^(U4-1)*U7</f>
        <v/>
      </c>
      <c r="V8" s="3">
        <f>Inputs!$E$21*(1+Inputs!$E$22)^(V4-1)*V7</f>
        <v/>
      </c>
      <c r="W8" s="3">
        <f>Inputs!$E$21*(1+Inputs!$E$22)^(W4-1)*W7</f>
        <v/>
      </c>
      <c r="X8" s="3">
        <f>Inputs!$E$21*(1+Inputs!$E$22)^(X4-1)*X7</f>
        <v/>
      </c>
      <c r="Y8" s="3">
        <f>Inputs!$E$21*(1+Inputs!$E$22)^(Y4-1)*Y7</f>
        <v/>
      </c>
      <c r="Z8" s="3">
        <f>Inputs!$E$21*(1+Inputs!$E$22)^(Z4-1)*Z7</f>
        <v/>
      </c>
      <c r="AA8" s="3">
        <f>Inputs!$E$21*(1+Inputs!$E$22)^(AA4-1)*AA7</f>
        <v/>
      </c>
      <c r="AB8" s="3">
        <f>Inputs!$E$21*(1+Inputs!$E$22)^(AB4-1)*AB7</f>
        <v/>
      </c>
      <c r="AC8" s="3">
        <f>Inputs!$E$21*(1+Inputs!$E$22)^(AC4-1)*AC7</f>
        <v/>
      </c>
      <c r="AD8" s="3">
        <f>Inputs!$E$21*(1+Inputs!$E$22)^(AD4-1)*AD7</f>
        <v/>
      </c>
      <c r="AE8" s="3">
        <f>Inputs!$E$21*(1+Inputs!$E$22)^(AE4-1)*AE7</f>
        <v/>
      </c>
      <c r="AF8" s="3">
        <f>Inputs!$E$21*(1+Inputs!$E$22)^(AF4-1)*AF7</f>
        <v/>
      </c>
      <c r="AG8" s="3">
        <f>Inputs!$E$21*(1+Inputs!$E$22)^(AG4-1)*AG7</f>
        <v/>
      </c>
      <c r="AH8" s="3">
        <f>Inputs!$E$21*(1+Inputs!$E$22)^(AH4-1)*AH7</f>
        <v/>
      </c>
      <c r="AI8" s="3">
        <f>Inputs!$E$21*(1+Inputs!$E$22)^(AI4-1)*AI7</f>
        <v/>
      </c>
      <c r="AJ8" s="3">
        <f>Inputs!$E$21*(1+Inputs!$E$22)^(AJ4-1)*AJ7</f>
        <v/>
      </c>
      <c r="AK8" s="3">
        <f>Inputs!$E$21*(1+Inputs!$E$22)^(AK4-1)*AK7</f>
        <v/>
      </c>
      <c r="AL8" s="3">
        <f>Inputs!$E$21*(1+Inputs!$E$22)^(AL4-1)*AL7</f>
        <v/>
      </c>
      <c r="AM8" s="3">
        <f>Inputs!$E$21*(1+Inputs!$E$22)^(AM4-1)*AM7</f>
        <v/>
      </c>
      <c r="AN8" s="3">
        <f>Inputs!$E$21*(1+Inputs!$E$22)^(AN4-1)*AN7</f>
        <v/>
      </c>
      <c r="AO8" s="3">
        <f>Inputs!$E$21*(1+Inputs!$E$22)^(AO4-1)*AO7</f>
        <v/>
      </c>
      <c r="AP8" s="3">
        <f>Inputs!$E$21*(1+Inputs!$E$22)^(AP4-1)*AP7</f>
        <v/>
      </c>
      <c r="AQ8" s="3">
        <f>Inputs!$E$21*(1+Inputs!$E$22)^(AQ4-1)*AQ7</f>
        <v/>
      </c>
      <c r="AR8" s="3">
        <f>Inputs!$E$21*(1+Inputs!$E$22)^(AR4-1)*AR7</f>
        <v/>
      </c>
      <c r="AS8" s="3">
        <f>Inputs!$E$21*(1+Inputs!$E$22)^(AS4-1)*AS7</f>
        <v/>
      </c>
      <c r="AT8" s="3">
        <f>Inputs!$E$21*(1+Inputs!$E$22)^(AT4-1)*AT7</f>
        <v/>
      </c>
      <c r="AU8" s="3">
        <f>Inputs!$E$21*(1+Inputs!$E$22)^(AU4-1)*AU7</f>
        <v/>
      </c>
      <c r="AV8" s="3">
        <f>Inputs!$E$21*(1+Inputs!$E$22)^(AV4-1)*AV7</f>
        <v/>
      </c>
      <c r="AW8" s="3">
        <f>Inputs!$E$21*(1+Inputs!$E$22)^(AW4-1)*AW7</f>
        <v/>
      </c>
      <c r="AX8" s="3">
        <f>Inputs!$E$21*(1+Inputs!$E$22)^(AX4-1)*AX7</f>
        <v/>
      </c>
      <c r="AY8" s="3">
        <f>Inputs!$E$21*(1+Inputs!$E$22)^(AY4-1)*AY7</f>
        <v/>
      </c>
      <c r="AZ8" s="3">
        <f>Inputs!$E$21*(1+Inputs!$E$22)^(AZ4-1)*AZ7</f>
        <v/>
      </c>
      <c r="BA8" s="3">
        <f>Inputs!$E$21*(1+Inputs!$E$22)^(BA4-1)*BA7</f>
        <v/>
      </c>
      <c r="BB8" s="3">
        <f>Inputs!$E$21*(1+Inputs!$E$22)^(BB4-1)*BB7</f>
        <v/>
      </c>
      <c r="BC8" s="3">
        <f>Inputs!$E$21*(1+Inputs!$E$22)^(BC4-1)*BC7</f>
        <v/>
      </c>
      <c r="BD8" s="3">
        <f>Inputs!$E$21*(1+Inputs!$E$22)^(BD4-1)*BD7</f>
        <v/>
      </c>
      <c r="BE8" s="3">
        <f>Inputs!$E$21*(1+Inputs!$E$22)^(BE4-1)*BE7</f>
        <v/>
      </c>
      <c r="BF8" s="3">
        <f>Inputs!$E$21*(1+Inputs!$E$22)^(BF4-1)*BF7</f>
        <v/>
      </c>
      <c r="BG8" s="3">
        <f>Inputs!$E$21*(1+Inputs!$E$22)^(BG4-1)*BG7</f>
        <v/>
      </c>
      <c r="BH8" s="3">
        <f>Inputs!$E$21*(1+Inputs!$E$22)^(BH4-1)*BH7</f>
        <v/>
      </c>
      <c r="BI8" s="3">
        <f>Inputs!$E$21*(1+Inputs!$E$22)^(BI4-1)*BI7</f>
        <v/>
      </c>
      <c r="BJ8" s="3">
        <f>Inputs!$E$21*(1+Inputs!$E$22)^(BJ4-1)*BJ7</f>
        <v/>
      </c>
    </row>
    <row r="9">
      <c r="A9" t="inlineStr">
        <is>
          <t>Ramp multiplier</t>
        </is>
      </c>
      <c r="C9" s="24">
        <f>IF(C3&lt;=12,INDEX(Inputs!$E$45:$E$56,C3),1)</f>
        <v/>
      </c>
      <c r="D9" s="24">
        <f>IF(D3&lt;=12,INDEX(Inputs!$E$45:$E$56,D3),1)</f>
        <v/>
      </c>
      <c r="E9" s="24">
        <f>IF(E3&lt;=12,INDEX(Inputs!$E$45:$E$56,E3),1)</f>
        <v/>
      </c>
      <c r="F9" s="24">
        <f>IF(F3&lt;=12,INDEX(Inputs!$E$45:$E$56,F3),1)</f>
        <v/>
      </c>
      <c r="G9" s="24">
        <f>IF(G3&lt;=12,INDEX(Inputs!$E$45:$E$56,G3),1)</f>
        <v/>
      </c>
      <c r="H9" s="24">
        <f>IF(H3&lt;=12,INDEX(Inputs!$E$45:$E$56,H3),1)</f>
        <v/>
      </c>
      <c r="I9" s="24">
        <f>IF(I3&lt;=12,INDEX(Inputs!$E$45:$E$56,I3),1)</f>
        <v/>
      </c>
      <c r="J9" s="24">
        <f>IF(J3&lt;=12,INDEX(Inputs!$E$45:$E$56,J3),1)</f>
        <v/>
      </c>
      <c r="K9" s="24">
        <f>IF(K3&lt;=12,INDEX(Inputs!$E$45:$E$56,K3),1)</f>
        <v/>
      </c>
      <c r="L9" s="24">
        <f>IF(L3&lt;=12,INDEX(Inputs!$E$45:$E$56,L3),1)</f>
        <v/>
      </c>
      <c r="M9" s="24">
        <f>IF(M3&lt;=12,INDEX(Inputs!$E$45:$E$56,M3),1)</f>
        <v/>
      </c>
      <c r="N9" s="24">
        <f>IF(N3&lt;=12,INDEX(Inputs!$E$45:$E$56,N3),1)</f>
        <v/>
      </c>
      <c r="O9" s="24">
        <f>IF(O3&lt;=12,INDEX(Inputs!$E$45:$E$56,O3),1)</f>
        <v/>
      </c>
      <c r="P9" s="24">
        <f>IF(P3&lt;=12,INDEX(Inputs!$E$45:$E$56,P3),1)</f>
        <v/>
      </c>
      <c r="Q9" s="24">
        <f>IF(Q3&lt;=12,INDEX(Inputs!$E$45:$E$56,Q3),1)</f>
        <v/>
      </c>
      <c r="R9" s="24">
        <f>IF(R3&lt;=12,INDEX(Inputs!$E$45:$E$56,R3),1)</f>
        <v/>
      </c>
      <c r="S9" s="24">
        <f>IF(S3&lt;=12,INDEX(Inputs!$E$45:$E$56,S3),1)</f>
        <v/>
      </c>
      <c r="T9" s="24">
        <f>IF(T3&lt;=12,INDEX(Inputs!$E$45:$E$56,T3),1)</f>
        <v/>
      </c>
      <c r="U9" s="24">
        <f>IF(U3&lt;=12,INDEX(Inputs!$E$45:$E$56,U3),1)</f>
        <v/>
      </c>
      <c r="V9" s="24">
        <f>IF(V3&lt;=12,INDEX(Inputs!$E$45:$E$56,V3),1)</f>
        <v/>
      </c>
      <c r="W9" s="24">
        <f>IF(W3&lt;=12,INDEX(Inputs!$E$45:$E$56,W3),1)</f>
        <v/>
      </c>
      <c r="X9" s="24">
        <f>IF(X3&lt;=12,INDEX(Inputs!$E$45:$E$56,X3),1)</f>
        <v/>
      </c>
      <c r="Y9" s="24">
        <f>IF(Y3&lt;=12,INDEX(Inputs!$E$45:$E$56,Y3),1)</f>
        <v/>
      </c>
      <c r="Z9" s="24">
        <f>IF(Z3&lt;=12,INDEX(Inputs!$E$45:$E$56,Z3),1)</f>
        <v/>
      </c>
      <c r="AA9" s="24">
        <f>IF(AA3&lt;=12,INDEX(Inputs!$E$45:$E$56,AA3),1)</f>
        <v/>
      </c>
      <c r="AB9" s="24">
        <f>IF(AB3&lt;=12,INDEX(Inputs!$E$45:$E$56,AB3),1)</f>
        <v/>
      </c>
      <c r="AC9" s="24">
        <f>IF(AC3&lt;=12,INDEX(Inputs!$E$45:$E$56,AC3),1)</f>
        <v/>
      </c>
      <c r="AD9" s="24">
        <f>IF(AD3&lt;=12,INDEX(Inputs!$E$45:$E$56,AD3),1)</f>
        <v/>
      </c>
      <c r="AE9" s="24">
        <f>IF(AE3&lt;=12,INDEX(Inputs!$E$45:$E$56,AE3),1)</f>
        <v/>
      </c>
      <c r="AF9" s="24">
        <f>IF(AF3&lt;=12,INDEX(Inputs!$E$45:$E$56,AF3),1)</f>
        <v/>
      </c>
      <c r="AG9" s="24">
        <f>IF(AG3&lt;=12,INDEX(Inputs!$E$45:$E$56,AG3),1)</f>
        <v/>
      </c>
      <c r="AH9" s="24">
        <f>IF(AH3&lt;=12,INDEX(Inputs!$E$45:$E$56,AH3),1)</f>
        <v/>
      </c>
      <c r="AI9" s="24">
        <f>IF(AI3&lt;=12,INDEX(Inputs!$E$45:$E$56,AI3),1)</f>
        <v/>
      </c>
      <c r="AJ9" s="24">
        <f>IF(AJ3&lt;=12,INDEX(Inputs!$E$45:$E$56,AJ3),1)</f>
        <v/>
      </c>
      <c r="AK9" s="24">
        <f>IF(AK3&lt;=12,INDEX(Inputs!$E$45:$E$56,AK3),1)</f>
        <v/>
      </c>
      <c r="AL9" s="24">
        <f>IF(AL3&lt;=12,INDEX(Inputs!$E$45:$E$56,AL3),1)</f>
        <v/>
      </c>
      <c r="AM9" s="24">
        <f>IF(AM3&lt;=12,INDEX(Inputs!$E$45:$E$56,AM3),1)</f>
        <v/>
      </c>
      <c r="AN9" s="24">
        <f>IF(AN3&lt;=12,INDEX(Inputs!$E$45:$E$56,AN3),1)</f>
        <v/>
      </c>
      <c r="AO9" s="24">
        <f>IF(AO3&lt;=12,INDEX(Inputs!$E$45:$E$56,AO3),1)</f>
        <v/>
      </c>
      <c r="AP9" s="24">
        <f>IF(AP3&lt;=12,INDEX(Inputs!$E$45:$E$56,AP3),1)</f>
        <v/>
      </c>
      <c r="AQ9" s="24">
        <f>IF(AQ3&lt;=12,INDEX(Inputs!$E$45:$E$56,AQ3),1)</f>
        <v/>
      </c>
      <c r="AR9" s="24">
        <f>IF(AR3&lt;=12,INDEX(Inputs!$E$45:$E$56,AR3),1)</f>
        <v/>
      </c>
      <c r="AS9" s="24">
        <f>IF(AS3&lt;=12,INDEX(Inputs!$E$45:$E$56,AS3),1)</f>
        <v/>
      </c>
      <c r="AT9" s="24">
        <f>IF(AT3&lt;=12,INDEX(Inputs!$E$45:$E$56,AT3),1)</f>
        <v/>
      </c>
      <c r="AU9" s="24">
        <f>IF(AU3&lt;=12,INDEX(Inputs!$E$45:$E$56,AU3),1)</f>
        <v/>
      </c>
      <c r="AV9" s="24">
        <f>IF(AV3&lt;=12,INDEX(Inputs!$E$45:$E$56,AV3),1)</f>
        <v/>
      </c>
      <c r="AW9" s="24">
        <f>IF(AW3&lt;=12,INDEX(Inputs!$E$45:$E$56,AW3),1)</f>
        <v/>
      </c>
      <c r="AX9" s="24">
        <f>IF(AX3&lt;=12,INDEX(Inputs!$E$45:$E$56,AX3),1)</f>
        <v/>
      </c>
      <c r="AY9" s="24">
        <f>IF(AY3&lt;=12,INDEX(Inputs!$E$45:$E$56,AY3),1)</f>
        <v/>
      </c>
      <c r="AZ9" s="24">
        <f>IF(AZ3&lt;=12,INDEX(Inputs!$E$45:$E$56,AZ3),1)</f>
        <v/>
      </c>
      <c r="BA9" s="24">
        <f>IF(BA3&lt;=12,INDEX(Inputs!$E$45:$E$56,BA3),1)</f>
        <v/>
      </c>
      <c r="BB9" s="24">
        <f>IF(BB3&lt;=12,INDEX(Inputs!$E$45:$E$56,BB3),1)</f>
        <v/>
      </c>
      <c r="BC9" s="24">
        <f>IF(BC3&lt;=12,INDEX(Inputs!$E$45:$E$56,BC3),1)</f>
        <v/>
      </c>
      <c r="BD9" s="24">
        <f>IF(BD3&lt;=12,INDEX(Inputs!$E$45:$E$56,BD3),1)</f>
        <v/>
      </c>
      <c r="BE9" s="24">
        <f>IF(BE3&lt;=12,INDEX(Inputs!$E$45:$E$56,BE3),1)</f>
        <v/>
      </c>
      <c r="BF9" s="24">
        <f>IF(BF3&lt;=12,INDEX(Inputs!$E$45:$E$56,BF3),1)</f>
        <v/>
      </c>
      <c r="BG9" s="24">
        <f>IF(BG3&lt;=12,INDEX(Inputs!$E$45:$E$56,BG3),1)</f>
        <v/>
      </c>
      <c r="BH9" s="24">
        <f>IF(BH3&lt;=12,INDEX(Inputs!$E$45:$E$56,BH3),1)</f>
        <v/>
      </c>
      <c r="BI9" s="24">
        <f>IF(BI3&lt;=12,INDEX(Inputs!$E$45:$E$56,BI3),1)</f>
        <v/>
      </c>
      <c r="BJ9" s="24">
        <f>IF(BJ3&lt;=12,INDEX(Inputs!$E$45:$E$56,BJ3),1)</f>
        <v/>
      </c>
    </row>
    <row r="10">
      <c r="A10" t="inlineStr">
        <is>
          <t>Capture rate</t>
        </is>
      </c>
      <c r="C10" s="25">
        <f>Inputs!$E$24*(1+Inputs!$E$25)^(C4-1)*C9</f>
        <v/>
      </c>
      <c r="D10" s="25">
        <f>Inputs!$E$24*(1+Inputs!$E$25)^(D4-1)*D9</f>
        <v/>
      </c>
      <c r="E10" s="25">
        <f>Inputs!$E$24*(1+Inputs!$E$25)^(E4-1)*E9</f>
        <v/>
      </c>
      <c r="F10" s="25">
        <f>Inputs!$E$24*(1+Inputs!$E$25)^(F4-1)*F9</f>
        <v/>
      </c>
      <c r="G10" s="25">
        <f>Inputs!$E$24*(1+Inputs!$E$25)^(G4-1)*G9</f>
        <v/>
      </c>
      <c r="H10" s="25">
        <f>Inputs!$E$24*(1+Inputs!$E$25)^(H4-1)*H9</f>
        <v/>
      </c>
      <c r="I10" s="25">
        <f>Inputs!$E$24*(1+Inputs!$E$25)^(I4-1)*I9</f>
        <v/>
      </c>
      <c r="J10" s="25">
        <f>Inputs!$E$24*(1+Inputs!$E$25)^(J4-1)*J9</f>
        <v/>
      </c>
      <c r="K10" s="25">
        <f>Inputs!$E$24*(1+Inputs!$E$25)^(K4-1)*K9</f>
        <v/>
      </c>
      <c r="L10" s="25">
        <f>Inputs!$E$24*(1+Inputs!$E$25)^(L4-1)*L9</f>
        <v/>
      </c>
      <c r="M10" s="25">
        <f>Inputs!$E$24*(1+Inputs!$E$25)^(M4-1)*M9</f>
        <v/>
      </c>
      <c r="N10" s="25">
        <f>Inputs!$E$24*(1+Inputs!$E$25)^(N4-1)*N9</f>
        <v/>
      </c>
      <c r="O10" s="25">
        <f>Inputs!$E$24*(1+Inputs!$E$25)^(O4-1)*O9</f>
        <v/>
      </c>
      <c r="P10" s="25">
        <f>Inputs!$E$24*(1+Inputs!$E$25)^(P4-1)*P9</f>
        <v/>
      </c>
      <c r="Q10" s="25">
        <f>Inputs!$E$24*(1+Inputs!$E$25)^(Q4-1)*Q9</f>
        <v/>
      </c>
      <c r="R10" s="25">
        <f>Inputs!$E$24*(1+Inputs!$E$25)^(R4-1)*R9</f>
        <v/>
      </c>
      <c r="S10" s="25">
        <f>Inputs!$E$24*(1+Inputs!$E$25)^(S4-1)*S9</f>
        <v/>
      </c>
      <c r="T10" s="25">
        <f>Inputs!$E$24*(1+Inputs!$E$25)^(T4-1)*T9</f>
        <v/>
      </c>
      <c r="U10" s="25">
        <f>Inputs!$E$24*(1+Inputs!$E$25)^(U4-1)*U9</f>
        <v/>
      </c>
      <c r="V10" s="25">
        <f>Inputs!$E$24*(1+Inputs!$E$25)^(V4-1)*V9</f>
        <v/>
      </c>
      <c r="W10" s="25">
        <f>Inputs!$E$24*(1+Inputs!$E$25)^(W4-1)*W9</f>
        <v/>
      </c>
      <c r="X10" s="25">
        <f>Inputs!$E$24*(1+Inputs!$E$25)^(X4-1)*X9</f>
        <v/>
      </c>
      <c r="Y10" s="25">
        <f>Inputs!$E$24*(1+Inputs!$E$25)^(Y4-1)*Y9</f>
        <v/>
      </c>
      <c r="Z10" s="25">
        <f>Inputs!$E$24*(1+Inputs!$E$25)^(Z4-1)*Z9</f>
        <v/>
      </c>
      <c r="AA10" s="25">
        <f>Inputs!$E$24*(1+Inputs!$E$25)^(AA4-1)*AA9</f>
        <v/>
      </c>
      <c r="AB10" s="25">
        <f>Inputs!$E$24*(1+Inputs!$E$25)^(AB4-1)*AB9</f>
        <v/>
      </c>
      <c r="AC10" s="25">
        <f>Inputs!$E$24*(1+Inputs!$E$25)^(AC4-1)*AC9</f>
        <v/>
      </c>
      <c r="AD10" s="25">
        <f>Inputs!$E$24*(1+Inputs!$E$25)^(AD4-1)*AD9</f>
        <v/>
      </c>
      <c r="AE10" s="25">
        <f>Inputs!$E$24*(1+Inputs!$E$25)^(AE4-1)*AE9</f>
        <v/>
      </c>
      <c r="AF10" s="25">
        <f>Inputs!$E$24*(1+Inputs!$E$25)^(AF4-1)*AF9</f>
        <v/>
      </c>
      <c r="AG10" s="25">
        <f>Inputs!$E$24*(1+Inputs!$E$25)^(AG4-1)*AG9</f>
        <v/>
      </c>
      <c r="AH10" s="25">
        <f>Inputs!$E$24*(1+Inputs!$E$25)^(AH4-1)*AH9</f>
        <v/>
      </c>
      <c r="AI10" s="25">
        <f>Inputs!$E$24*(1+Inputs!$E$25)^(AI4-1)*AI9</f>
        <v/>
      </c>
      <c r="AJ10" s="25">
        <f>Inputs!$E$24*(1+Inputs!$E$25)^(AJ4-1)*AJ9</f>
        <v/>
      </c>
      <c r="AK10" s="25">
        <f>Inputs!$E$24*(1+Inputs!$E$25)^(AK4-1)*AK9</f>
        <v/>
      </c>
      <c r="AL10" s="25">
        <f>Inputs!$E$24*(1+Inputs!$E$25)^(AL4-1)*AL9</f>
        <v/>
      </c>
      <c r="AM10" s="25">
        <f>Inputs!$E$24*(1+Inputs!$E$25)^(AM4-1)*AM9</f>
        <v/>
      </c>
      <c r="AN10" s="25">
        <f>Inputs!$E$24*(1+Inputs!$E$25)^(AN4-1)*AN9</f>
        <v/>
      </c>
      <c r="AO10" s="25">
        <f>Inputs!$E$24*(1+Inputs!$E$25)^(AO4-1)*AO9</f>
        <v/>
      </c>
      <c r="AP10" s="25">
        <f>Inputs!$E$24*(1+Inputs!$E$25)^(AP4-1)*AP9</f>
        <v/>
      </c>
      <c r="AQ10" s="25">
        <f>Inputs!$E$24*(1+Inputs!$E$25)^(AQ4-1)*AQ9</f>
        <v/>
      </c>
      <c r="AR10" s="25">
        <f>Inputs!$E$24*(1+Inputs!$E$25)^(AR4-1)*AR9</f>
        <v/>
      </c>
      <c r="AS10" s="25">
        <f>Inputs!$E$24*(1+Inputs!$E$25)^(AS4-1)*AS9</f>
        <v/>
      </c>
      <c r="AT10" s="25">
        <f>Inputs!$E$24*(1+Inputs!$E$25)^(AT4-1)*AT9</f>
        <v/>
      </c>
      <c r="AU10" s="25">
        <f>Inputs!$E$24*(1+Inputs!$E$25)^(AU4-1)*AU9</f>
        <v/>
      </c>
      <c r="AV10" s="25">
        <f>Inputs!$E$24*(1+Inputs!$E$25)^(AV4-1)*AV9</f>
        <v/>
      </c>
      <c r="AW10" s="25">
        <f>Inputs!$E$24*(1+Inputs!$E$25)^(AW4-1)*AW9</f>
        <v/>
      </c>
      <c r="AX10" s="25">
        <f>Inputs!$E$24*(1+Inputs!$E$25)^(AX4-1)*AX9</f>
        <v/>
      </c>
      <c r="AY10" s="25">
        <f>Inputs!$E$24*(1+Inputs!$E$25)^(AY4-1)*AY9</f>
        <v/>
      </c>
      <c r="AZ10" s="25">
        <f>Inputs!$E$24*(1+Inputs!$E$25)^(AZ4-1)*AZ9</f>
        <v/>
      </c>
      <c r="BA10" s="25">
        <f>Inputs!$E$24*(1+Inputs!$E$25)^(BA4-1)*BA9</f>
        <v/>
      </c>
      <c r="BB10" s="25">
        <f>Inputs!$E$24*(1+Inputs!$E$25)^(BB4-1)*BB9</f>
        <v/>
      </c>
      <c r="BC10" s="25">
        <f>Inputs!$E$24*(1+Inputs!$E$25)^(BC4-1)*BC9</f>
        <v/>
      </c>
      <c r="BD10" s="25">
        <f>Inputs!$E$24*(1+Inputs!$E$25)^(BD4-1)*BD9</f>
        <v/>
      </c>
      <c r="BE10" s="25">
        <f>Inputs!$E$24*(1+Inputs!$E$25)^(BE4-1)*BE9</f>
        <v/>
      </c>
      <c r="BF10" s="25">
        <f>Inputs!$E$24*(1+Inputs!$E$25)^(BF4-1)*BF9</f>
        <v/>
      </c>
      <c r="BG10" s="25">
        <f>Inputs!$E$24*(1+Inputs!$E$25)^(BG4-1)*BG9</f>
        <v/>
      </c>
      <c r="BH10" s="25">
        <f>Inputs!$E$24*(1+Inputs!$E$25)^(BH4-1)*BH9</f>
        <v/>
      </c>
      <c r="BI10" s="25">
        <f>Inputs!$E$24*(1+Inputs!$E$25)^(BI4-1)*BI9</f>
        <v/>
      </c>
      <c r="BJ10" s="25">
        <f>Inputs!$E$24*(1+Inputs!$E$25)^(BJ4-1)*BJ9</f>
        <v/>
      </c>
    </row>
    <row r="11">
      <c r="A11" t="inlineStr">
        <is>
          <t>Transactions / day</t>
        </is>
      </c>
      <c r="C11" s="24">
        <f>C8*Inputs!$E$23*C10+Inputs!$E$27*C9</f>
        <v/>
      </c>
      <c r="D11" s="24">
        <f>D8*Inputs!$E$23*D10+Inputs!$E$27*D9</f>
        <v/>
      </c>
      <c r="E11" s="24">
        <f>E8*Inputs!$E$23*E10+Inputs!$E$27*E9</f>
        <v/>
      </c>
      <c r="F11" s="24">
        <f>F8*Inputs!$E$23*F10+Inputs!$E$27*F9</f>
        <v/>
      </c>
      <c r="G11" s="24">
        <f>G8*Inputs!$E$23*G10+Inputs!$E$27*G9</f>
        <v/>
      </c>
      <c r="H11" s="24">
        <f>H8*Inputs!$E$23*H10+Inputs!$E$27*H9</f>
        <v/>
      </c>
      <c r="I11" s="24">
        <f>I8*Inputs!$E$23*I10+Inputs!$E$27*I9</f>
        <v/>
      </c>
      <c r="J11" s="24">
        <f>J8*Inputs!$E$23*J10+Inputs!$E$27*J9</f>
        <v/>
      </c>
      <c r="K11" s="24">
        <f>K8*Inputs!$E$23*K10+Inputs!$E$27*K9</f>
        <v/>
      </c>
      <c r="L11" s="24">
        <f>L8*Inputs!$E$23*L10+Inputs!$E$27*L9</f>
        <v/>
      </c>
      <c r="M11" s="24">
        <f>M8*Inputs!$E$23*M10+Inputs!$E$27*M9</f>
        <v/>
      </c>
      <c r="N11" s="24">
        <f>N8*Inputs!$E$23*N10+Inputs!$E$27*N9</f>
        <v/>
      </c>
      <c r="O11" s="24">
        <f>O8*Inputs!$E$23*O10+Inputs!$E$27*O9</f>
        <v/>
      </c>
      <c r="P11" s="24">
        <f>P8*Inputs!$E$23*P10+Inputs!$E$27*P9</f>
        <v/>
      </c>
      <c r="Q11" s="24">
        <f>Q8*Inputs!$E$23*Q10+Inputs!$E$27*Q9</f>
        <v/>
      </c>
      <c r="R11" s="24">
        <f>R8*Inputs!$E$23*R10+Inputs!$E$27*R9</f>
        <v/>
      </c>
      <c r="S11" s="24">
        <f>S8*Inputs!$E$23*S10+Inputs!$E$27*S9</f>
        <v/>
      </c>
      <c r="T11" s="24">
        <f>T8*Inputs!$E$23*T10+Inputs!$E$27*T9</f>
        <v/>
      </c>
      <c r="U11" s="24">
        <f>U8*Inputs!$E$23*U10+Inputs!$E$27*U9</f>
        <v/>
      </c>
      <c r="V11" s="24">
        <f>V8*Inputs!$E$23*V10+Inputs!$E$27*V9</f>
        <v/>
      </c>
      <c r="W11" s="24">
        <f>W8*Inputs!$E$23*W10+Inputs!$E$27*W9</f>
        <v/>
      </c>
      <c r="X11" s="24">
        <f>X8*Inputs!$E$23*X10+Inputs!$E$27*X9</f>
        <v/>
      </c>
      <c r="Y11" s="24">
        <f>Y8*Inputs!$E$23*Y10+Inputs!$E$27*Y9</f>
        <v/>
      </c>
      <c r="Z11" s="24">
        <f>Z8*Inputs!$E$23*Z10+Inputs!$E$27*Z9</f>
        <v/>
      </c>
      <c r="AA11" s="24">
        <f>AA8*Inputs!$E$23*AA10+Inputs!$E$27*AA9</f>
        <v/>
      </c>
      <c r="AB11" s="24">
        <f>AB8*Inputs!$E$23*AB10+Inputs!$E$27*AB9</f>
        <v/>
      </c>
      <c r="AC11" s="24">
        <f>AC8*Inputs!$E$23*AC10+Inputs!$E$27*AC9</f>
        <v/>
      </c>
      <c r="AD11" s="24">
        <f>AD8*Inputs!$E$23*AD10+Inputs!$E$27*AD9</f>
        <v/>
      </c>
      <c r="AE11" s="24">
        <f>AE8*Inputs!$E$23*AE10+Inputs!$E$27*AE9</f>
        <v/>
      </c>
      <c r="AF11" s="24">
        <f>AF8*Inputs!$E$23*AF10+Inputs!$E$27*AF9</f>
        <v/>
      </c>
      <c r="AG11" s="24">
        <f>AG8*Inputs!$E$23*AG10+Inputs!$E$27*AG9</f>
        <v/>
      </c>
      <c r="AH11" s="24">
        <f>AH8*Inputs!$E$23*AH10+Inputs!$E$27*AH9</f>
        <v/>
      </c>
      <c r="AI11" s="24">
        <f>AI8*Inputs!$E$23*AI10+Inputs!$E$27*AI9</f>
        <v/>
      </c>
      <c r="AJ11" s="24">
        <f>AJ8*Inputs!$E$23*AJ10+Inputs!$E$27*AJ9</f>
        <v/>
      </c>
      <c r="AK11" s="24">
        <f>AK8*Inputs!$E$23*AK10+Inputs!$E$27*AK9</f>
        <v/>
      </c>
      <c r="AL11" s="24">
        <f>AL8*Inputs!$E$23*AL10+Inputs!$E$27*AL9</f>
        <v/>
      </c>
      <c r="AM11" s="24">
        <f>AM8*Inputs!$E$23*AM10+Inputs!$E$27*AM9</f>
        <v/>
      </c>
      <c r="AN11" s="24">
        <f>AN8*Inputs!$E$23*AN10+Inputs!$E$27*AN9</f>
        <v/>
      </c>
      <c r="AO11" s="24">
        <f>AO8*Inputs!$E$23*AO10+Inputs!$E$27*AO9</f>
        <v/>
      </c>
      <c r="AP11" s="24">
        <f>AP8*Inputs!$E$23*AP10+Inputs!$E$27*AP9</f>
        <v/>
      </c>
      <c r="AQ11" s="24">
        <f>AQ8*Inputs!$E$23*AQ10+Inputs!$E$27*AQ9</f>
        <v/>
      </c>
      <c r="AR11" s="24">
        <f>AR8*Inputs!$E$23*AR10+Inputs!$E$27*AR9</f>
        <v/>
      </c>
      <c r="AS11" s="24">
        <f>AS8*Inputs!$E$23*AS10+Inputs!$E$27*AS9</f>
        <v/>
      </c>
      <c r="AT11" s="24">
        <f>AT8*Inputs!$E$23*AT10+Inputs!$E$27*AT9</f>
        <v/>
      </c>
      <c r="AU11" s="24">
        <f>AU8*Inputs!$E$23*AU10+Inputs!$E$27*AU9</f>
        <v/>
      </c>
      <c r="AV11" s="24">
        <f>AV8*Inputs!$E$23*AV10+Inputs!$E$27*AV9</f>
        <v/>
      </c>
      <c r="AW11" s="24">
        <f>AW8*Inputs!$E$23*AW10+Inputs!$E$27*AW9</f>
        <v/>
      </c>
      <c r="AX11" s="24">
        <f>AX8*Inputs!$E$23*AX10+Inputs!$E$27*AX9</f>
        <v/>
      </c>
      <c r="AY11" s="24">
        <f>AY8*Inputs!$E$23*AY10+Inputs!$E$27*AY9</f>
        <v/>
      </c>
      <c r="AZ11" s="24">
        <f>AZ8*Inputs!$E$23*AZ10+Inputs!$E$27*AZ9</f>
        <v/>
      </c>
      <c r="BA11" s="24">
        <f>BA8*Inputs!$E$23*BA10+Inputs!$E$27*BA9</f>
        <v/>
      </c>
      <c r="BB11" s="24">
        <f>BB8*Inputs!$E$23*BB10+Inputs!$E$27*BB9</f>
        <v/>
      </c>
      <c r="BC11" s="24">
        <f>BC8*Inputs!$E$23*BC10+Inputs!$E$27*BC9</f>
        <v/>
      </c>
      <c r="BD11" s="24">
        <f>BD8*Inputs!$E$23*BD10+Inputs!$E$27*BD9</f>
        <v/>
      </c>
      <c r="BE11" s="24">
        <f>BE8*Inputs!$E$23*BE10+Inputs!$E$27*BE9</f>
        <v/>
      </c>
      <c r="BF11" s="24">
        <f>BF8*Inputs!$E$23*BF10+Inputs!$E$27*BF9</f>
        <v/>
      </c>
      <c r="BG11" s="24">
        <f>BG8*Inputs!$E$23*BG10+Inputs!$E$27*BG9</f>
        <v/>
      </c>
      <c r="BH11" s="24">
        <f>BH8*Inputs!$E$23*BH10+Inputs!$E$27*BH9</f>
        <v/>
      </c>
      <c r="BI11" s="24">
        <f>BI8*Inputs!$E$23*BI10+Inputs!$E$27*BI9</f>
        <v/>
      </c>
      <c r="BJ11" s="24">
        <f>BJ8*Inputs!$E$23*BJ10+Inputs!$E$27*BJ9</f>
        <v/>
      </c>
    </row>
    <row r="12">
      <c r="A12" t="inlineStr">
        <is>
          <t>Average ticket (AMD, incl. VAT)</t>
        </is>
      </c>
      <c r="C12" s="3">
        <f>Inputs!$E$26*(1+Inputs!$E$28)^(C4-1)</f>
        <v/>
      </c>
      <c r="D12" s="3">
        <f>Inputs!$E$26*(1+Inputs!$E$28)^(D4-1)</f>
        <v/>
      </c>
      <c r="E12" s="3">
        <f>Inputs!$E$26*(1+Inputs!$E$28)^(E4-1)</f>
        <v/>
      </c>
      <c r="F12" s="3">
        <f>Inputs!$E$26*(1+Inputs!$E$28)^(F4-1)</f>
        <v/>
      </c>
      <c r="G12" s="3">
        <f>Inputs!$E$26*(1+Inputs!$E$28)^(G4-1)</f>
        <v/>
      </c>
      <c r="H12" s="3">
        <f>Inputs!$E$26*(1+Inputs!$E$28)^(H4-1)</f>
        <v/>
      </c>
      <c r="I12" s="3">
        <f>Inputs!$E$26*(1+Inputs!$E$28)^(I4-1)</f>
        <v/>
      </c>
      <c r="J12" s="3">
        <f>Inputs!$E$26*(1+Inputs!$E$28)^(J4-1)</f>
        <v/>
      </c>
      <c r="K12" s="3">
        <f>Inputs!$E$26*(1+Inputs!$E$28)^(K4-1)</f>
        <v/>
      </c>
      <c r="L12" s="3">
        <f>Inputs!$E$26*(1+Inputs!$E$28)^(L4-1)</f>
        <v/>
      </c>
      <c r="M12" s="3">
        <f>Inputs!$E$26*(1+Inputs!$E$28)^(M4-1)</f>
        <v/>
      </c>
      <c r="N12" s="3">
        <f>Inputs!$E$26*(1+Inputs!$E$28)^(N4-1)</f>
        <v/>
      </c>
      <c r="O12" s="3">
        <f>Inputs!$E$26*(1+Inputs!$E$28)^(O4-1)</f>
        <v/>
      </c>
      <c r="P12" s="3">
        <f>Inputs!$E$26*(1+Inputs!$E$28)^(P4-1)</f>
        <v/>
      </c>
      <c r="Q12" s="3">
        <f>Inputs!$E$26*(1+Inputs!$E$28)^(Q4-1)</f>
        <v/>
      </c>
      <c r="R12" s="3">
        <f>Inputs!$E$26*(1+Inputs!$E$28)^(R4-1)</f>
        <v/>
      </c>
      <c r="S12" s="3">
        <f>Inputs!$E$26*(1+Inputs!$E$28)^(S4-1)</f>
        <v/>
      </c>
      <c r="T12" s="3">
        <f>Inputs!$E$26*(1+Inputs!$E$28)^(T4-1)</f>
        <v/>
      </c>
      <c r="U12" s="3">
        <f>Inputs!$E$26*(1+Inputs!$E$28)^(U4-1)</f>
        <v/>
      </c>
      <c r="V12" s="3">
        <f>Inputs!$E$26*(1+Inputs!$E$28)^(V4-1)</f>
        <v/>
      </c>
      <c r="W12" s="3">
        <f>Inputs!$E$26*(1+Inputs!$E$28)^(W4-1)</f>
        <v/>
      </c>
      <c r="X12" s="3">
        <f>Inputs!$E$26*(1+Inputs!$E$28)^(X4-1)</f>
        <v/>
      </c>
      <c r="Y12" s="3">
        <f>Inputs!$E$26*(1+Inputs!$E$28)^(Y4-1)</f>
        <v/>
      </c>
      <c r="Z12" s="3">
        <f>Inputs!$E$26*(1+Inputs!$E$28)^(Z4-1)</f>
        <v/>
      </c>
      <c r="AA12" s="3">
        <f>Inputs!$E$26*(1+Inputs!$E$28)^(AA4-1)</f>
        <v/>
      </c>
      <c r="AB12" s="3">
        <f>Inputs!$E$26*(1+Inputs!$E$28)^(AB4-1)</f>
        <v/>
      </c>
      <c r="AC12" s="3">
        <f>Inputs!$E$26*(1+Inputs!$E$28)^(AC4-1)</f>
        <v/>
      </c>
      <c r="AD12" s="3">
        <f>Inputs!$E$26*(1+Inputs!$E$28)^(AD4-1)</f>
        <v/>
      </c>
      <c r="AE12" s="3">
        <f>Inputs!$E$26*(1+Inputs!$E$28)^(AE4-1)</f>
        <v/>
      </c>
      <c r="AF12" s="3">
        <f>Inputs!$E$26*(1+Inputs!$E$28)^(AF4-1)</f>
        <v/>
      </c>
      <c r="AG12" s="3">
        <f>Inputs!$E$26*(1+Inputs!$E$28)^(AG4-1)</f>
        <v/>
      </c>
      <c r="AH12" s="3">
        <f>Inputs!$E$26*(1+Inputs!$E$28)^(AH4-1)</f>
        <v/>
      </c>
      <c r="AI12" s="3">
        <f>Inputs!$E$26*(1+Inputs!$E$28)^(AI4-1)</f>
        <v/>
      </c>
      <c r="AJ12" s="3">
        <f>Inputs!$E$26*(1+Inputs!$E$28)^(AJ4-1)</f>
        <v/>
      </c>
      <c r="AK12" s="3">
        <f>Inputs!$E$26*(1+Inputs!$E$28)^(AK4-1)</f>
        <v/>
      </c>
      <c r="AL12" s="3">
        <f>Inputs!$E$26*(1+Inputs!$E$28)^(AL4-1)</f>
        <v/>
      </c>
      <c r="AM12" s="3">
        <f>Inputs!$E$26*(1+Inputs!$E$28)^(AM4-1)</f>
        <v/>
      </c>
      <c r="AN12" s="3">
        <f>Inputs!$E$26*(1+Inputs!$E$28)^(AN4-1)</f>
        <v/>
      </c>
      <c r="AO12" s="3">
        <f>Inputs!$E$26*(1+Inputs!$E$28)^(AO4-1)</f>
        <v/>
      </c>
      <c r="AP12" s="3">
        <f>Inputs!$E$26*(1+Inputs!$E$28)^(AP4-1)</f>
        <v/>
      </c>
      <c r="AQ12" s="3">
        <f>Inputs!$E$26*(1+Inputs!$E$28)^(AQ4-1)</f>
        <v/>
      </c>
      <c r="AR12" s="3">
        <f>Inputs!$E$26*(1+Inputs!$E$28)^(AR4-1)</f>
        <v/>
      </c>
      <c r="AS12" s="3">
        <f>Inputs!$E$26*(1+Inputs!$E$28)^(AS4-1)</f>
        <v/>
      </c>
      <c r="AT12" s="3">
        <f>Inputs!$E$26*(1+Inputs!$E$28)^(AT4-1)</f>
        <v/>
      </c>
      <c r="AU12" s="3">
        <f>Inputs!$E$26*(1+Inputs!$E$28)^(AU4-1)</f>
        <v/>
      </c>
      <c r="AV12" s="3">
        <f>Inputs!$E$26*(1+Inputs!$E$28)^(AV4-1)</f>
        <v/>
      </c>
      <c r="AW12" s="3">
        <f>Inputs!$E$26*(1+Inputs!$E$28)^(AW4-1)</f>
        <v/>
      </c>
      <c r="AX12" s="3">
        <f>Inputs!$E$26*(1+Inputs!$E$28)^(AX4-1)</f>
        <v/>
      </c>
      <c r="AY12" s="3">
        <f>Inputs!$E$26*(1+Inputs!$E$28)^(AY4-1)</f>
        <v/>
      </c>
      <c r="AZ12" s="3">
        <f>Inputs!$E$26*(1+Inputs!$E$28)^(AZ4-1)</f>
        <v/>
      </c>
      <c r="BA12" s="3">
        <f>Inputs!$E$26*(1+Inputs!$E$28)^(BA4-1)</f>
        <v/>
      </c>
      <c r="BB12" s="3">
        <f>Inputs!$E$26*(1+Inputs!$E$28)^(BB4-1)</f>
        <v/>
      </c>
      <c r="BC12" s="3">
        <f>Inputs!$E$26*(1+Inputs!$E$28)^(BC4-1)</f>
        <v/>
      </c>
      <c r="BD12" s="3">
        <f>Inputs!$E$26*(1+Inputs!$E$28)^(BD4-1)</f>
        <v/>
      </c>
      <c r="BE12" s="3">
        <f>Inputs!$E$26*(1+Inputs!$E$28)^(BE4-1)</f>
        <v/>
      </c>
      <c r="BF12" s="3">
        <f>Inputs!$E$26*(1+Inputs!$E$28)^(BF4-1)</f>
        <v/>
      </c>
      <c r="BG12" s="3">
        <f>Inputs!$E$26*(1+Inputs!$E$28)^(BG4-1)</f>
        <v/>
      </c>
      <c r="BH12" s="3">
        <f>Inputs!$E$26*(1+Inputs!$E$28)^(BH4-1)</f>
        <v/>
      </c>
      <c r="BI12" s="3">
        <f>Inputs!$E$26*(1+Inputs!$E$28)^(BI4-1)</f>
        <v/>
      </c>
      <c r="BJ12" s="3">
        <f>Inputs!$E$26*(1+Inputs!$E$28)^(BJ4-1)</f>
        <v/>
      </c>
    </row>
    <row r="13">
      <c r="A13" t="inlineStr">
        <is>
          <t>Gross sales (incl. VAT)</t>
        </is>
      </c>
      <c r="C13" s="3">
        <f>C11*C6*C12</f>
        <v/>
      </c>
      <c r="D13" s="3">
        <f>D11*D6*D12</f>
        <v/>
      </c>
      <c r="E13" s="3">
        <f>E11*E6*E12</f>
        <v/>
      </c>
      <c r="F13" s="3">
        <f>F11*F6*F12</f>
        <v/>
      </c>
      <c r="G13" s="3">
        <f>G11*G6*G12</f>
        <v/>
      </c>
      <c r="H13" s="3">
        <f>H11*H6*H12</f>
        <v/>
      </c>
      <c r="I13" s="3">
        <f>I11*I6*I12</f>
        <v/>
      </c>
      <c r="J13" s="3">
        <f>J11*J6*J12</f>
        <v/>
      </c>
      <c r="K13" s="3">
        <f>K11*K6*K12</f>
        <v/>
      </c>
      <c r="L13" s="3">
        <f>L11*L6*L12</f>
        <v/>
      </c>
      <c r="M13" s="3">
        <f>M11*M6*M12</f>
        <v/>
      </c>
      <c r="N13" s="3">
        <f>N11*N6*N12</f>
        <v/>
      </c>
      <c r="O13" s="3">
        <f>O11*O6*O12</f>
        <v/>
      </c>
      <c r="P13" s="3">
        <f>P11*P6*P12</f>
        <v/>
      </c>
      <c r="Q13" s="3">
        <f>Q11*Q6*Q12</f>
        <v/>
      </c>
      <c r="R13" s="3">
        <f>R11*R6*R12</f>
        <v/>
      </c>
      <c r="S13" s="3">
        <f>S11*S6*S12</f>
        <v/>
      </c>
      <c r="T13" s="3">
        <f>T11*T6*T12</f>
        <v/>
      </c>
      <c r="U13" s="3">
        <f>U11*U6*U12</f>
        <v/>
      </c>
      <c r="V13" s="3">
        <f>V11*V6*V12</f>
        <v/>
      </c>
      <c r="W13" s="3">
        <f>W11*W6*W12</f>
        <v/>
      </c>
      <c r="X13" s="3">
        <f>X11*X6*X12</f>
        <v/>
      </c>
      <c r="Y13" s="3">
        <f>Y11*Y6*Y12</f>
        <v/>
      </c>
      <c r="Z13" s="3">
        <f>Z11*Z6*Z12</f>
        <v/>
      </c>
      <c r="AA13" s="3">
        <f>AA11*AA6*AA12</f>
        <v/>
      </c>
      <c r="AB13" s="3">
        <f>AB11*AB6*AB12</f>
        <v/>
      </c>
      <c r="AC13" s="3">
        <f>AC11*AC6*AC12</f>
        <v/>
      </c>
      <c r="AD13" s="3">
        <f>AD11*AD6*AD12</f>
        <v/>
      </c>
      <c r="AE13" s="3">
        <f>AE11*AE6*AE12</f>
        <v/>
      </c>
      <c r="AF13" s="3">
        <f>AF11*AF6*AF12</f>
        <v/>
      </c>
      <c r="AG13" s="3">
        <f>AG11*AG6*AG12</f>
        <v/>
      </c>
      <c r="AH13" s="3">
        <f>AH11*AH6*AH12</f>
        <v/>
      </c>
      <c r="AI13" s="3">
        <f>AI11*AI6*AI12</f>
        <v/>
      </c>
      <c r="AJ13" s="3">
        <f>AJ11*AJ6*AJ12</f>
        <v/>
      </c>
      <c r="AK13" s="3">
        <f>AK11*AK6*AK12</f>
        <v/>
      </c>
      <c r="AL13" s="3">
        <f>AL11*AL6*AL12</f>
        <v/>
      </c>
      <c r="AM13" s="3">
        <f>AM11*AM6*AM12</f>
        <v/>
      </c>
      <c r="AN13" s="3">
        <f>AN11*AN6*AN12</f>
        <v/>
      </c>
      <c r="AO13" s="3">
        <f>AO11*AO6*AO12</f>
        <v/>
      </c>
      <c r="AP13" s="3">
        <f>AP11*AP6*AP12</f>
        <v/>
      </c>
      <c r="AQ13" s="3">
        <f>AQ11*AQ6*AQ12</f>
        <v/>
      </c>
      <c r="AR13" s="3">
        <f>AR11*AR6*AR12</f>
        <v/>
      </c>
      <c r="AS13" s="3">
        <f>AS11*AS6*AS12</f>
        <v/>
      </c>
      <c r="AT13" s="3">
        <f>AT11*AT6*AT12</f>
        <v/>
      </c>
      <c r="AU13" s="3">
        <f>AU11*AU6*AU12</f>
        <v/>
      </c>
      <c r="AV13" s="3">
        <f>AV11*AV6*AV12</f>
        <v/>
      </c>
      <c r="AW13" s="3">
        <f>AW11*AW6*AW12</f>
        <v/>
      </c>
      <c r="AX13" s="3">
        <f>AX11*AX6*AX12</f>
        <v/>
      </c>
      <c r="AY13" s="3">
        <f>AY11*AY6*AY12</f>
        <v/>
      </c>
      <c r="AZ13" s="3">
        <f>AZ11*AZ6*AZ12</f>
        <v/>
      </c>
      <c r="BA13" s="3">
        <f>BA11*BA6*BA12</f>
        <v/>
      </c>
      <c r="BB13" s="3">
        <f>BB11*BB6*BB12</f>
        <v/>
      </c>
      <c r="BC13" s="3">
        <f>BC11*BC6*BC12</f>
        <v/>
      </c>
      <c r="BD13" s="3">
        <f>BD11*BD6*BD12</f>
        <v/>
      </c>
      <c r="BE13" s="3">
        <f>BE11*BE6*BE12</f>
        <v/>
      </c>
      <c r="BF13" s="3">
        <f>BF11*BF6*BF12</f>
        <v/>
      </c>
      <c r="BG13" s="3">
        <f>BG11*BG6*BG12</f>
        <v/>
      </c>
      <c r="BH13" s="3">
        <f>BH11*BH6*BH12</f>
        <v/>
      </c>
      <c r="BI13" s="3">
        <f>BI11*BI6*BI12</f>
        <v/>
      </c>
      <c r="BJ13" s="3">
        <f>BJ11*BJ6*BJ12</f>
        <v/>
      </c>
    </row>
    <row r="14">
      <c r="A14" s="18" t="inlineStr">
        <is>
          <t>Net sales (excl. VAT)</t>
        </is>
      </c>
      <c r="C14" s="3">
        <f>C13/(1+Inputs!$E$10*(1-Inputs!$E$13))</f>
        <v/>
      </c>
      <c r="D14" s="3">
        <f>D13/(1+Inputs!$E$10*(1-Inputs!$E$13))</f>
        <v/>
      </c>
      <c r="E14" s="3">
        <f>E13/(1+Inputs!$E$10*(1-Inputs!$E$13))</f>
        <v/>
      </c>
      <c r="F14" s="3">
        <f>F13/(1+Inputs!$E$10*(1-Inputs!$E$13))</f>
        <v/>
      </c>
      <c r="G14" s="3">
        <f>G13/(1+Inputs!$E$10*(1-Inputs!$E$13))</f>
        <v/>
      </c>
      <c r="H14" s="3">
        <f>H13/(1+Inputs!$E$10*(1-Inputs!$E$13))</f>
        <v/>
      </c>
      <c r="I14" s="3">
        <f>I13/(1+Inputs!$E$10*(1-Inputs!$E$13))</f>
        <v/>
      </c>
      <c r="J14" s="3">
        <f>J13/(1+Inputs!$E$10*(1-Inputs!$E$13))</f>
        <v/>
      </c>
      <c r="K14" s="3">
        <f>K13/(1+Inputs!$E$10*(1-Inputs!$E$13))</f>
        <v/>
      </c>
      <c r="L14" s="3">
        <f>L13/(1+Inputs!$E$10*(1-Inputs!$E$13))</f>
        <v/>
      </c>
      <c r="M14" s="3">
        <f>M13/(1+Inputs!$E$10*(1-Inputs!$E$13))</f>
        <v/>
      </c>
      <c r="N14" s="3">
        <f>N13/(1+Inputs!$E$10*(1-Inputs!$E$13))</f>
        <v/>
      </c>
      <c r="O14" s="3">
        <f>O13/(1+Inputs!$E$10*(1-Inputs!$E$13))</f>
        <v/>
      </c>
      <c r="P14" s="3">
        <f>P13/(1+Inputs!$E$10*(1-Inputs!$E$13))</f>
        <v/>
      </c>
      <c r="Q14" s="3">
        <f>Q13/(1+Inputs!$E$10*(1-Inputs!$E$13))</f>
        <v/>
      </c>
      <c r="R14" s="3">
        <f>R13/(1+Inputs!$E$10*(1-Inputs!$E$13))</f>
        <v/>
      </c>
      <c r="S14" s="3">
        <f>S13/(1+Inputs!$E$10*(1-Inputs!$E$13))</f>
        <v/>
      </c>
      <c r="T14" s="3">
        <f>T13/(1+Inputs!$E$10*(1-Inputs!$E$13))</f>
        <v/>
      </c>
      <c r="U14" s="3">
        <f>U13/(1+Inputs!$E$10*(1-Inputs!$E$13))</f>
        <v/>
      </c>
      <c r="V14" s="3">
        <f>V13/(1+Inputs!$E$10*(1-Inputs!$E$13))</f>
        <v/>
      </c>
      <c r="W14" s="3">
        <f>W13/(1+Inputs!$E$10*(1-Inputs!$E$13))</f>
        <v/>
      </c>
      <c r="X14" s="3">
        <f>X13/(1+Inputs!$E$10*(1-Inputs!$E$13))</f>
        <v/>
      </c>
      <c r="Y14" s="3">
        <f>Y13/(1+Inputs!$E$10*(1-Inputs!$E$13))</f>
        <v/>
      </c>
      <c r="Z14" s="3">
        <f>Z13/(1+Inputs!$E$10*(1-Inputs!$E$13))</f>
        <v/>
      </c>
      <c r="AA14" s="3">
        <f>AA13/(1+Inputs!$E$10*(1-Inputs!$E$13))</f>
        <v/>
      </c>
      <c r="AB14" s="3">
        <f>AB13/(1+Inputs!$E$10*(1-Inputs!$E$13))</f>
        <v/>
      </c>
      <c r="AC14" s="3">
        <f>AC13/(1+Inputs!$E$10*(1-Inputs!$E$13))</f>
        <v/>
      </c>
      <c r="AD14" s="3">
        <f>AD13/(1+Inputs!$E$10*(1-Inputs!$E$13))</f>
        <v/>
      </c>
      <c r="AE14" s="3">
        <f>AE13/(1+Inputs!$E$10*(1-Inputs!$E$13))</f>
        <v/>
      </c>
      <c r="AF14" s="3">
        <f>AF13/(1+Inputs!$E$10*(1-Inputs!$E$13))</f>
        <v/>
      </c>
      <c r="AG14" s="3">
        <f>AG13/(1+Inputs!$E$10*(1-Inputs!$E$13))</f>
        <v/>
      </c>
      <c r="AH14" s="3">
        <f>AH13/(1+Inputs!$E$10*(1-Inputs!$E$13))</f>
        <v/>
      </c>
      <c r="AI14" s="3">
        <f>AI13/(1+Inputs!$E$10*(1-Inputs!$E$13))</f>
        <v/>
      </c>
      <c r="AJ14" s="3">
        <f>AJ13/(1+Inputs!$E$10*(1-Inputs!$E$13))</f>
        <v/>
      </c>
      <c r="AK14" s="3">
        <f>AK13/(1+Inputs!$E$10*(1-Inputs!$E$13))</f>
        <v/>
      </c>
      <c r="AL14" s="3">
        <f>AL13/(1+Inputs!$E$10*(1-Inputs!$E$13))</f>
        <v/>
      </c>
      <c r="AM14" s="3">
        <f>AM13/(1+Inputs!$E$10*(1-Inputs!$E$13))</f>
        <v/>
      </c>
      <c r="AN14" s="3">
        <f>AN13/(1+Inputs!$E$10*(1-Inputs!$E$13))</f>
        <v/>
      </c>
      <c r="AO14" s="3">
        <f>AO13/(1+Inputs!$E$10*(1-Inputs!$E$13))</f>
        <v/>
      </c>
      <c r="AP14" s="3">
        <f>AP13/(1+Inputs!$E$10*(1-Inputs!$E$13))</f>
        <v/>
      </c>
      <c r="AQ14" s="3">
        <f>AQ13/(1+Inputs!$E$10*(1-Inputs!$E$13))</f>
        <v/>
      </c>
      <c r="AR14" s="3">
        <f>AR13/(1+Inputs!$E$10*(1-Inputs!$E$13))</f>
        <v/>
      </c>
      <c r="AS14" s="3">
        <f>AS13/(1+Inputs!$E$10*(1-Inputs!$E$13))</f>
        <v/>
      </c>
      <c r="AT14" s="3">
        <f>AT13/(1+Inputs!$E$10*(1-Inputs!$E$13))</f>
        <v/>
      </c>
      <c r="AU14" s="3">
        <f>AU13/(1+Inputs!$E$10*(1-Inputs!$E$13))</f>
        <v/>
      </c>
      <c r="AV14" s="3">
        <f>AV13/(1+Inputs!$E$10*(1-Inputs!$E$13))</f>
        <v/>
      </c>
      <c r="AW14" s="3">
        <f>AW13/(1+Inputs!$E$10*(1-Inputs!$E$13))</f>
        <v/>
      </c>
      <c r="AX14" s="3">
        <f>AX13/(1+Inputs!$E$10*(1-Inputs!$E$13))</f>
        <v/>
      </c>
      <c r="AY14" s="3">
        <f>AY13/(1+Inputs!$E$10*(1-Inputs!$E$13))</f>
        <v/>
      </c>
      <c r="AZ14" s="3">
        <f>AZ13/(1+Inputs!$E$10*(1-Inputs!$E$13))</f>
        <v/>
      </c>
      <c r="BA14" s="3">
        <f>BA13/(1+Inputs!$E$10*(1-Inputs!$E$13))</f>
        <v/>
      </c>
      <c r="BB14" s="3">
        <f>BB13/(1+Inputs!$E$10*(1-Inputs!$E$13))</f>
        <v/>
      </c>
      <c r="BC14" s="3">
        <f>BC13/(1+Inputs!$E$10*(1-Inputs!$E$13))</f>
        <v/>
      </c>
      <c r="BD14" s="3">
        <f>BD13/(1+Inputs!$E$10*(1-Inputs!$E$13))</f>
        <v/>
      </c>
      <c r="BE14" s="3">
        <f>BE13/(1+Inputs!$E$10*(1-Inputs!$E$13))</f>
        <v/>
      </c>
      <c r="BF14" s="3">
        <f>BF13/(1+Inputs!$E$10*(1-Inputs!$E$13))</f>
        <v/>
      </c>
      <c r="BG14" s="3">
        <f>BG13/(1+Inputs!$E$10*(1-Inputs!$E$13))</f>
        <v/>
      </c>
      <c r="BH14" s="3">
        <f>BH13/(1+Inputs!$E$10*(1-Inputs!$E$13))</f>
        <v/>
      </c>
      <c r="BI14" s="3">
        <f>BI13/(1+Inputs!$E$10*(1-Inputs!$E$13))</f>
        <v/>
      </c>
      <c r="BJ14" s="3">
        <f>BJ13/(1+Inputs!$E$10*(1-Inputs!$E$13))</f>
        <v/>
      </c>
    </row>
    <row r="15">
      <c r="A15" t="inlineStr">
        <is>
          <t>COGS + waste</t>
        </is>
      </c>
      <c r="C15" s="3">
        <f>C14*(Inputs!$E$59+Inputs!$E$60)</f>
        <v/>
      </c>
      <c r="D15" s="3">
        <f>D14*(Inputs!$E$59+Inputs!$E$60)</f>
        <v/>
      </c>
      <c r="E15" s="3">
        <f>E14*(Inputs!$E$59+Inputs!$E$60)</f>
        <v/>
      </c>
      <c r="F15" s="3">
        <f>F14*(Inputs!$E$59+Inputs!$E$60)</f>
        <v/>
      </c>
      <c r="G15" s="3">
        <f>G14*(Inputs!$E$59+Inputs!$E$60)</f>
        <v/>
      </c>
      <c r="H15" s="3">
        <f>H14*(Inputs!$E$59+Inputs!$E$60)</f>
        <v/>
      </c>
      <c r="I15" s="3">
        <f>I14*(Inputs!$E$59+Inputs!$E$60)</f>
        <v/>
      </c>
      <c r="J15" s="3">
        <f>J14*(Inputs!$E$59+Inputs!$E$60)</f>
        <v/>
      </c>
      <c r="K15" s="3">
        <f>K14*(Inputs!$E$59+Inputs!$E$60)</f>
        <v/>
      </c>
      <c r="L15" s="3">
        <f>L14*(Inputs!$E$59+Inputs!$E$60)</f>
        <v/>
      </c>
      <c r="M15" s="3">
        <f>M14*(Inputs!$E$59+Inputs!$E$60)</f>
        <v/>
      </c>
      <c r="N15" s="3">
        <f>N14*(Inputs!$E$59+Inputs!$E$60)</f>
        <v/>
      </c>
      <c r="O15" s="3">
        <f>O14*(Inputs!$E$59+Inputs!$E$60)</f>
        <v/>
      </c>
      <c r="P15" s="3">
        <f>P14*(Inputs!$E$59+Inputs!$E$60)</f>
        <v/>
      </c>
      <c r="Q15" s="3">
        <f>Q14*(Inputs!$E$59+Inputs!$E$60)</f>
        <v/>
      </c>
      <c r="R15" s="3">
        <f>R14*(Inputs!$E$59+Inputs!$E$60)</f>
        <v/>
      </c>
      <c r="S15" s="3">
        <f>S14*(Inputs!$E$59+Inputs!$E$60)</f>
        <v/>
      </c>
      <c r="T15" s="3">
        <f>T14*(Inputs!$E$59+Inputs!$E$60)</f>
        <v/>
      </c>
      <c r="U15" s="3">
        <f>U14*(Inputs!$E$59+Inputs!$E$60)</f>
        <v/>
      </c>
      <c r="V15" s="3">
        <f>V14*(Inputs!$E$59+Inputs!$E$60)</f>
        <v/>
      </c>
      <c r="W15" s="3">
        <f>W14*(Inputs!$E$59+Inputs!$E$60)</f>
        <v/>
      </c>
      <c r="X15" s="3">
        <f>X14*(Inputs!$E$59+Inputs!$E$60)</f>
        <v/>
      </c>
      <c r="Y15" s="3">
        <f>Y14*(Inputs!$E$59+Inputs!$E$60)</f>
        <v/>
      </c>
      <c r="Z15" s="3">
        <f>Z14*(Inputs!$E$59+Inputs!$E$60)</f>
        <v/>
      </c>
      <c r="AA15" s="3">
        <f>AA14*(Inputs!$E$59+Inputs!$E$60)</f>
        <v/>
      </c>
      <c r="AB15" s="3">
        <f>AB14*(Inputs!$E$59+Inputs!$E$60)</f>
        <v/>
      </c>
      <c r="AC15" s="3">
        <f>AC14*(Inputs!$E$59+Inputs!$E$60)</f>
        <v/>
      </c>
      <c r="AD15" s="3">
        <f>AD14*(Inputs!$E$59+Inputs!$E$60)</f>
        <v/>
      </c>
      <c r="AE15" s="3">
        <f>AE14*(Inputs!$E$59+Inputs!$E$60)</f>
        <v/>
      </c>
      <c r="AF15" s="3">
        <f>AF14*(Inputs!$E$59+Inputs!$E$60)</f>
        <v/>
      </c>
      <c r="AG15" s="3">
        <f>AG14*(Inputs!$E$59+Inputs!$E$60)</f>
        <v/>
      </c>
      <c r="AH15" s="3">
        <f>AH14*(Inputs!$E$59+Inputs!$E$60)</f>
        <v/>
      </c>
      <c r="AI15" s="3">
        <f>AI14*(Inputs!$E$59+Inputs!$E$60)</f>
        <v/>
      </c>
      <c r="AJ15" s="3">
        <f>AJ14*(Inputs!$E$59+Inputs!$E$60)</f>
        <v/>
      </c>
      <c r="AK15" s="3">
        <f>AK14*(Inputs!$E$59+Inputs!$E$60)</f>
        <v/>
      </c>
      <c r="AL15" s="3">
        <f>AL14*(Inputs!$E$59+Inputs!$E$60)</f>
        <v/>
      </c>
      <c r="AM15" s="3">
        <f>AM14*(Inputs!$E$59+Inputs!$E$60)</f>
        <v/>
      </c>
      <c r="AN15" s="3">
        <f>AN14*(Inputs!$E$59+Inputs!$E$60)</f>
        <v/>
      </c>
      <c r="AO15" s="3">
        <f>AO14*(Inputs!$E$59+Inputs!$E$60)</f>
        <v/>
      </c>
      <c r="AP15" s="3">
        <f>AP14*(Inputs!$E$59+Inputs!$E$60)</f>
        <v/>
      </c>
      <c r="AQ15" s="3">
        <f>AQ14*(Inputs!$E$59+Inputs!$E$60)</f>
        <v/>
      </c>
      <c r="AR15" s="3">
        <f>AR14*(Inputs!$E$59+Inputs!$E$60)</f>
        <v/>
      </c>
      <c r="AS15" s="3">
        <f>AS14*(Inputs!$E$59+Inputs!$E$60)</f>
        <v/>
      </c>
      <c r="AT15" s="3">
        <f>AT14*(Inputs!$E$59+Inputs!$E$60)</f>
        <v/>
      </c>
      <c r="AU15" s="3">
        <f>AU14*(Inputs!$E$59+Inputs!$E$60)</f>
        <v/>
      </c>
      <c r="AV15" s="3">
        <f>AV14*(Inputs!$E$59+Inputs!$E$60)</f>
        <v/>
      </c>
      <c r="AW15" s="3">
        <f>AW14*(Inputs!$E$59+Inputs!$E$60)</f>
        <v/>
      </c>
      <c r="AX15" s="3">
        <f>AX14*(Inputs!$E$59+Inputs!$E$60)</f>
        <v/>
      </c>
      <c r="AY15" s="3">
        <f>AY14*(Inputs!$E$59+Inputs!$E$60)</f>
        <v/>
      </c>
      <c r="AZ15" s="3">
        <f>AZ14*(Inputs!$E$59+Inputs!$E$60)</f>
        <v/>
      </c>
      <c r="BA15" s="3">
        <f>BA14*(Inputs!$E$59+Inputs!$E$60)</f>
        <v/>
      </c>
      <c r="BB15" s="3">
        <f>BB14*(Inputs!$E$59+Inputs!$E$60)</f>
        <v/>
      </c>
      <c r="BC15" s="3">
        <f>BC14*(Inputs!$E$59+Inputs!$E$60)</f>
        <v/>
      </c>
      <c r="BD15" s="3">
        <f>BD14*(Inputs!$E$59+Inputs!$E$60)</f>
        <v/>
      </c>
      <c r="BE15" s="3">
        <f>BE14*(Inputs!$E$59+Inputs!$E$60)</f>
        <v/>
      </c>
      <c r="BF15" s="3">
        <f>BF14*(Inputs!$E$59+Inputs!$E$60)</f>
        <v/>
      </c>
      <c r="BG15" s="3">
        <f>BG14*(Inputs!$E$59+Inputs!$E$60)</f>
        <v/>
      </c>
      <c r="BH15" s="3">
        <f>BH14*(Inputs!$E$59+Inputs!$E$60)</f>
        <v/>
      </c>
      <c r="BI15" s="3">
        <f>BI14*(Inputs!$E$59+Inputs!$E$60)</f>
        <v/>
      </c>
      <c r="BJ15" s="3">
        <f>BJ14*(Inputs!$E$59+Inputs!$E$60)</f>
        <v/>
      </c>
    </row>
    <row r="16">
      <c r="A16" t="inlineStr">
        <is>
          <t>Card fees</t>
        </is>
      </c>
      <c r="C16" s="3">
        <f>C13*Inputs!$E$61*Inputs!$E$62</f>
        <v/>
      </c>
      <c r="D16" s="3">
        <f>D13*Inputs!$E$61*Inputs!$E$62</f>
        <v/>
      </c>
      <c r="E16" s="3">
        <f>E13*Inputs!$E$61*Inputs!$E$62</f>
        <v/>
      </c>
      <c r="F16" s="3">
        <f>F13*Inputs!$E$61*Inputs!$E$62</f>
        <v/>
      </c>
      <c r="G16" s="3">
        <f>G13*Inputs!$E$61*Inputs!$E$62</f>
        <v/>
      </c>
      <c r="H16" s="3">
        <f>H13*Inputs!$E$61*Inputs!$E$62</f>
        <v/>
      </c>
      <c r="I16" s="3">
        <f>I13*Inputs!$E$61*Inputs!$E$62</f>
        <v/>
      </c>
      <c r="J16" s="3">
        <f>J13*Inputs!$E$61*Inputs!$E$62</f>
        <v/>
      </c>
      <c r="K16" s="3">
        <f>K13*Inputs!$E$61*Inputs!$E$62</f>
        <v/>
      </c>
      <c r="L16" s="3">
        <f>L13*Inputs!$E$61*Inputs!$E$62</f>
        <v/>
      </c>
      <c r="M16" s="3">
        <f>M13*Inputs!$E$61*Inputs!$E$62</f>
        <v/>
      </c>
      <c r="N16" s="3">
        <f>N13*Inputs!$E$61*Inputs!$E$62</f>
        <v/>
      </c>
      <c r="O16" s="3">
        <f>O13*Inputs!$E$61*Inputs!$E$62</f>
        <v/>
      </c>
      <c r="P16" s="3">
        <f>P13*Inputs!$E$61*Inputs!$E$62</f>
        <v/>
      </c>
      <c r="Q16" s="3">
        <f>Q13*Inputs!$E$61*Inputs!$E$62</f>
        <v/>
      </c>
      <c r="R16" s="3">
        <f>R13*Inputs!$E$61*Inputs!$E$62</f>
        <v/>
      </c>
      <c r="S16" s="3">
        <f>S13*Inputs!$E$61*Inputs!$E$62</f>
        <v/>
      </c>
      <c r="T16" s="3">
        <f>T13*Inputs!$E$61*Inputs!$E$62</f>
        <v/>
      </c>
      <c r="U16" s="3">
        <f>U13*Inputs!$E$61*Inputs!$E$62</f>
        <v/>
      </c>
      <c r="V16" s="3">
        <f>V13*Inputs!$E$61*Inputs!$E$62</f>
        <v/>
      </c>
      <c r="W16" s="3">
        <f>W13*Inputs!$E$61*Inputs!$E$62</f>
        <v/>
      </c>
      <c r="X16" s="3">
        <f>X13*Inputs!$E$61*Inputs!$E$62</f>
        <v/>
      </c>
      <c r="Y16" s="3">
        <f>Y13*Inputs!$E$61*Inputs!$E$62</f>
        <v/>
      </c>
      <c r="Z16" s="3">
        <f>Z13*Inputs!$E$61*Inputs!$E$62</f>
        <v/>
      </c>
      <c r="AA16" s="3">
        <f>AA13*Inputs!$E$61*Inputs!$E$62</f>
        <v/>
      </c>
      <c r="AB16" s="3">
        <f>AB13*Inputs!$E$61*Inputs!$E$62</f>
        <v/>
      </c>
      <c r="AC16" s="3">
        <f>AC13*Inputs!$E$61*Inputs!$E$62</f>
        <v/>
      </c>
      <c r="AD16" s="3">
        <f>AD13*Inputs!$E$61*Inputs!$E$62</f>
        <v/>
      </c>
      <c r="AE16" s="3">
        <f>AE13*Inputs!$E$61*Inputs!$E$62</f>
        <v/>
      </c>
      <c r="AF16" s="3">
        <f>AF13*Inputs!$E$61*Inputs!$E$62</f>
        <v/>
      </c>
      <c r="AG16" s="3">
        <f>AG13*Inputs!$E$61*Inputs!$E$62</f>
        <v/>
      </c>
      <c r="AH16" s="3">
        <f>AH13*Inputs!$E$61*Inputs!$E$62</f>
        <v/>
      </c>
      <c r="AI16" s="3">
        <f>AI13*Inputs!$E$61*Inputs!$E$62</f>
        <v/>
      </c>
      <c r="AJ16" s="3">
        <f>AJ13*Inputs!$E$61*Inputs!$E$62</f>
        <v/>
      </c>
      <c r="AK16" s="3">
        <f>AK13*Inputs!$E$61*Inputs!$E$62</f>
        <v/>
      </c>
      <c r="AL16" s="3">
        <f>AL13*Inputs!$E$61*Inputs!$E$62</f>
        <v/>
      </c>
      <c r="AM16" s="3">
        <f>AM13*Inputs!$E$61*Inputs!$E$62</f>
        <v/>
      </c>
      <c r="AN16" s="3">
        <f>AN13*Inputs!$E$61*Inputs!$E$62</f>
        <v/>
      </c>
      <c r="AO16" s="3">
        <f>AO13*Inputs!$E$61*Inputs!$E$62</f>
        <v/>
      </c>
      <c r="AP16" s="3">
        <f>AP13*Inputs!$E$61*Inputs!$E$62</f>
        <v/>
      </c>
      <c r="AQ16" s="3">
        <f>AQ13*Inputs!$E$61*Inputs!$E$62</f>
        <v/>
      </c>
      <c r="AR16" s="3">
        <f>AR13*Inputs!$E$61*Inputs!$E$62</f>
        <v/>
      </c>
      <c r="AS16" s="3">
        <f>AS13*Inputs!$E$61*Inputs!$E$62</f>
        <v/>
      </c>
      <c r="AT16" s="3">
        <f>AT13*Inputs!$E$61*Inputs!$E$62</f>
        <v/>
      </c>
      <c r="AU16" s="3">
        <f>AU13*Inputs!$E$61*Inputs!$E$62</f>
        <v/>
      </c>
      <c r="AV16" s="3">
        <f>AV13*Inputs!$E$61*Inputs!$E$62</f>
        <v/>
      </c>
      <c r="AW16" s="3">
        <f>AW13*Inputs!$E$61*Inputs!$E$62</f>
        <v/>
      </c>
      <c r="AX16" s="3">
        <f>AX13*Inputs!$E$61*Inputs!$E$62</f>
        <v/>
      </c>
      <c r="AY16" s="3">
        <f>AY13*Inputs!$E$61*Inputs!$E$62</f>
        <v/>
      </c>
      <c r="AZ16" s="3">
        <f>AZ13*Inputs!$E$61*Inputs!$E$62</f>
        <v/>
      </c>
      <c r="BA16" s="3">
        <f>BA13*Inputs!$E$61*Inputs!$E$62</f>
        <v/>
      </c>
      <c r="BB16" s="3">
        <f>BB13*Inputs!$E$61*Inputs!$E$62</f>
        <v/>
      </c>
      <c r="BC16" s="3">
        <f>BC13*Inputs!$E$61*Inputs!$E$62</f>
        <v/>
      </c>
      <c r="BD16" s="3">
        <f>BD13*Inputs!$E$61*Inputs!$E$62</f>
        <v/>
      </c>
      <c r="BE16" s="3">
        <f>BE13*Inputs!$E$61*Inputs!$E$62</f>
        <v/>
      </c>
      <c r="BF16" s="3">
        <f>BF13*Inputs!$E$61*Inputs!$E$62</f>
        <v/>
      </c>
      <c r="BG16" s="3">
        <f>BG13*Inputs!$E$61*Inputs!$E$62</f>
        <v/>
      </c>
      <c r="BH16" s="3">
        <f>BH13*Inputs!$E$61*Inputs!$E$62</f>
        <v/>
      </c>
      <c r="BI16" s="3">
        <f>BI13*Inputs!$E$61*Inputs!$E$62</f>
        <v/>
      </c>
      <c r="BJ16" s="3">
        <f>BJ13*Inputs!$E$61*Inputs!$E$62</f>
        <v/>
      </c>
    </row>
    <row r="17">
      <c r="A17" t="inlineStr">
        <is>
          <t>Marketing</t>
        </is>
      </c>
      <c r="C17" s="3">
        <f>C14*Inputs!$E$63+IF(C3&lt;=3,Inputs!$E$64/3,0)</f>
        <v/>
      </c>
      <c r="D17" s="3">
        <f>D14*Inputs!$E$63+IF(D3&lt;=3,Inputs!$E$64/3,0)</f>
        <v/>
      </c>
      <c r="E17" s="3">
        <f>E14*Inputs!$E$63+IF(E3&lt;=3,Inputs!$E$64/3,0)</f>
        <v/>
      </c>
      <c r="F17" s="3">
        <f>F14*Inputs!$E$63+IF(F3&lt;=3,Inputs!$E$64/3,0)</f>
        <v/>
      </c>
      <c r="G17" s="3">
        <f>G14*Inputs!$E$63+IF(G3&lt;=3,Inputs!$E$64/3,0)</f>
        <v/>
      </c>
      <c r="H17" s="3">
        <f>H14*Inputs!$E$63+IF(H3&lt;=3,Inputs!$E$64/3,0)</f>
        <v/>
      </c>
      <c r="I17" s="3">
        <f>I14*Inputs!$E$63+IF(I3&lt;=3,Inputs!$E$64/3,0)</f>
        <v/>
      </c>
      <c r="J17" s="3">
        <f>J14*Inputs!$E$63+IF(J3&lt;=3,Inputs!$E$64/3,0)</f>
        <v/>
      </c>
      <c r="K17" s="3">
        <f>K14*Inputs!$E$63+IF(K3&lt;=3,Inputs!$E$64/3,0)</f>
        <v/>
      </c>
      <c r="L17" s="3">
        <f>L14*Inputs!$E$63+IF(L3&lt;=3,Inputs!$E$64/3,0)</f>
        <v/>
      </c>
      <c r="M17" s="3">
        <f>M14*Inputs!$E$63+IF(M3&lt;=3,Inputs!$E$64/3,0)</f>
        <v/>
      </c>
      <c r="N17" s="3">
        <f>N14*Inputs!$E$63+IF(N3&lt;=3,Inputs!$E$64/3,0)</f>
        <v/>
      </c>
      <c r="O17" s="3">
        <f>O14*Inputs!$E$63+IF(O3&lt;=3,Inputs!$E$64/3,0)</f>
        <v/>
      </c>
      <c r="P17" s="3">
        <f>P14*Inputs!$E$63+IF(P3&lt;=3,Inputs!$E$64/3,0)</f>
        <v/>
      </c>
      <c r="Q17" s="3">
        <f>Q14*Inputs!$E$63+IF(Q3&lt;=3,Inputs!$E$64/3,0)</f>
        <v/>
      </c>
      <c r="R17" s="3">
        <f>R14*Inputs!$E$63+IF(R3&lt;=3,Inputs!$E$64/3,0)</f>
        <v/>
      </c>
      <c r="S17" s="3">
        <f>S14*Inputs!$E$63+IF(S3&lt;=3,Inputs!$E$64/3,0)</f>
        <v/>
      </c>
      <c r="T17" s="3">
        <f>T14*Inputs!$E$63+IF(T3&lt;=3,Inputs!$E$64/3,0)</f>
        <v/>
      </c>
      <c r="U17" s="3">
        <f>U14*Inputs!$E$63+IF(U3&lt;=3,Inputs!$E$64/3,0)</f>
        <v/>
      </c>
      <c r="V17" s="3">
        <f>V14*Inputs!$E$63+IF(V3&lt;=3,Inputs!$E$64/3,0)</f>
        <v/>
      </c>
      <c r="W17" s="3">
        <f>W14*Inputs!$E$63+IF(W3&lt;=3,Inputs!$E$64/3,0)</f>
        <v/>
      </c>
      <c r="X17" s="3">
        <f>X14*Inputs!$E$63+IF(X3&lt;=3,Inputs!$E$64/3,0)</f>
        <v/>
      </c>
      <c r="Y17" s="3">
        <f>Y14*Inputs!$E$63+IF(Y3&lt;=3,Inputs!$E$64/3,0)</f>
        <v/>
      </c>
      <c r="Z17" s="3">
        <f>Z14*Inputs!$E$63+IF(Z3&lt;=3,Inputs!$E$64/3,0)</f>
        <v/>
      </c>
      <c r="AA17" s="3">
        <f>AA14*Inputs!$E$63+IF(AA3&lt;=3,Inputs!$E$64/3,0)</f>
        <v/>
      </c>
      <c r="AB17" s="3">
        <f>AB14*Inputs!$E$63+IF(AB3&lt;=3,Inputs!$E$64/3,0)</f>
        <v/>
      </c>
      <c r="AC17" s="3">
        <f>AC14*Inputs!$E$63+IF(AC3&lt;=3,Inputs!$E$64/3,0)</f>
        <v/>
      </c>
      <c r="AD17" s="3">
        <f>AD14*Inputs!$E$63+IF(AD3&lt;=3,Inputs!$E$64/3,0)</f>
        <v/>
      </c>
      <c r="AE17" s="3">
        <f>AE14*Inputs!$E$63+IF(AE3&lt;=3,Inputs!$E$64/3,0)</f>
        <v/>
      </c>
      <c r="AF17" s="3">
        <f>AF14*Inputs!$E$63+IF(AF3&lt;=3,Inputs!$E$64/3,0)</f>
        <v/>
      </c>
      <c r="AG17" s="3">
        <f>AG14*Inputs!$E$63+IF(AG3&lt;=3,Inputs!$E$64/3,0)</f>
        <v/>
      </c>
      <c r="AH17" s="3">
        <f>AH14*Inputs!$E$63+IF(AH3&lt;=3,Inputs!$E$64/3,0)</f>
        <v/>
      </c>
      <c r="AI17" s="3">
        <f>AI14*Inputs!$E$63+IF(AI3&lt;=3,Inputs!$E$64/3,0)</f>
        <v/>
      </c>
      <c r="AJ17" s="3">
        <f>AJ14*Inputs!$E$63+IF(AJ3&lt;=3,Inputs!$E$64/3,0)</f>
        <v/>
      </c>
      <c r="AK17" s="3">
        <f>AK14*Inputs!$E$63+IF(AK3&lt;=3,Inputs!$E$64/3,0)</f>
        <v/>
      </c>
      <c r="AL17" s="3">
        <f>AL14*Inputs!$E$63+IF(AL3&lt;=3,Inputs!$E$64/3,0)</f>
        <v/>
      </c>
      <c r="AM17" s="3">
        <f>AM14*Inputs!$E$63+IF(AM3&lt;=3,Inputs!$E$64/3,0)</f>
        <v/>
      </c>
      <c r="AN17" s="3">
        <f>AN14*Inputs!$E$63+IF(AN3&lt;=3,Inputs!$E$64/3,0)</f>
        <v/>
      </c>
      <c r="AO17" s="3">
        <f>AO14*Inputs!$E$63+IF(AO3&lt;=3,Inputs!$E$64/3,0)</f>
        <v/>
      </c>
      <c r="AP17" s="3">
        <f>AP14*Inputs!$E$63+IF(AP3&lt;=3,Inputs!$E$64/3,0)</f>
        <v/>
      </c>
      <c r="AQ17" s="3">
        <f>AQ14*Inputs!$E$63+IF(AQ3&lt;=3,Inputs!$E$64/3,0)</f>
        <v/>
      </c>
      <c r="AR17" s="3">
        <f>AR14*Inputs!$E$63+IF(AR3&lt;=3,Inputs!$E$64/3,0)</f>
        <v/>
      </c>
      <c r="AS17" s="3">
        <f>AS14*Inputs!$E$63+IF(AS3&lt;=3,Inputs!$E$64/3,0)</f>
        <v/>
      </c>
      <c r="AT17" s="3">
        <f>AT14*Inputs!$E$63+IF(AT3&lt;=3,Inputs!$E$64/3,0)</f>
        <v/>
      </c>
      <c r="AU17" s="3">
        <f>AU14*Inputs!$E$63+IF(AU3&lt;=3,Inputs!$E$64/3,0)</f>
        <v/>
      </c>
      <c r="AV17" s="3">
        <f>AV14*Inputs!$E$63+IF(AV3&lt;=3,Inputs!$E$64/3,0)</f>
        <v/>
      </c>
      <c r="AW17" s="3">
        <f>AW14*Inputs!$E$63+IF(AW3&lt;=3,Inputs!$E$64/3,0)</f>
        <v/>
      </c>
      <c r="AX17" s="3">
        <f>AX14*Inputs!$E$63+IF(AX3&lt;=3,Inputs!$E$64/3,0)</f>
        <v/>
      </c>
      <c r="AY17" s="3">
        <f>AY14*Inputs!$E$63+IF(AY3&lt;=3,Inputs!$E$64/3,0)</f>
        <v/>
      </c>
      <c r="AZ17" s="3">
        <f>AZ14*Inputs!$E$63+IF(AZ3&lt;=3,Inputs!$E$64/3,0)</f>
        <v/>
      </c>
      <c r="BA17" s="3">
        <f>BA14*Inputs!$E$63+IF(BA3&lt;=3,Inputs!$E$64/3,0)</f>
        <v/>
      </c>
      <c r="BB17" s="3">
        <f>BB14*Inputs!$E$63+IF(BB3&lt;=3,Inputs!$E$64/3,0)</f>
        <v/>
      </c>
      <c r="BC17" s="3">
        <f>BC14*Inputs!$E$63+IF(BC3&lt;=3,Inputs!$E$64/3,0)</f>
        <v/>
      </c>
      <c r="BD17" s="3">
        <f>BD14*Inputs!$E$63+IF(BD3&lt;=3,Inputs!$E$64/3,0)</f>
        <v/>
      </c>
      <c r="BE17" s="3">
        <f>BE14*Inputs!$E$63+IF(BE3&lt;=3,Inputs!$E$64/3,0)</f>
        <v/>
      </c>
      <c r="BF17" s="3">
        <f>BF14*Inputs!$E$63+IF(BF3&lt;=3,Inputs!$E$64/3,0)</f>
        <v/>
      </c>
      <c r="BG17" s="3">
        <f>BG14*Inputs!$E$63+IF(BG3&lt;=3,Inputs!$E$64/3,0)</f>
        <v/>
      </c>
      <c r="BH17" s="3">
        <f>BH14*Inputs!$E$63+IF(BH3&lt;=3,Inputs!$E$64/3,0)</f>
        <v/>
      </c>
      <c r="BI17" s="3">
        <f>BI14*Inputs!$E$63+IF(BI3&lt;=3,Inputs!$E$64/3,0)</f>
        <v/>
      </c>
      <c r="BJ17" s="3">
        <f>BJ14*Inputs!$E$63+IF(BJ3&lt;=3,Inputs!$E$64/3,0)</f>
        <v/>
      </c>
    </row>
    <row r="18">
      <c r="A18" t="inlineStr">
        <is>
          <t>Repairs &amp; maintenance</t>
        </is>
      </c>
      <c r="C18" s="3">
        <f>C14*Inputs!$E$65</f>
        <v/>
      </c>
      <c r="D18" s="3">
        <f>D14*Inputs!$E$65</f>
        <v/>
      </c>
      <c r="E18" s="3">
        <f>E14*Inputs!$E$65</f>
        <v/>
      </c>
      <c r="F18" s="3">
        <f>F14*Inputs!$E$65</f>
        <v/>
      </c>
      <c r="G18" s="3">
        <f>G14*Inputs!$E$65</f>
        <v/>
      </c>
      <c r="H18" s="3">
        <f>H14*Inputs!$E$65</f>
        <v/>
      </c>
      <c r="I18" s="3">
        <f>I14*Inputs!$E$65</f>
        <v/>
      </c>
      <c r="J18" s="3">
        <f>J14*Inputs!$E$65</f>
        <v/>
      </c>
      <c r="K18" s="3">
        <f>K14*Inputs!$E$65</f>
        <v/>
      </c>
      <c r="L18" s="3">
        <f>L14*Inputs!$E$65</f>
        <v/>
      </c>
      <c r="M18" s="3">
        <f>M14*Inputs!$E$65</f>
        <v/>
      </c>
      <c r="N18" s="3">
        <f>N14*Inputs!$E$65</f>
        <v/>
      </c>
      <c r="O18" s="3">
        <f>O14*Inputs!$E$65</f>
        <v/>
      </c>
      <c r="P18" s="3">
        <f>P14*Inputs!$E$65</f>
        <v/>
      </c>
      <c r="Q18" s="3">
        <f>Q14*Inputs!$E$65</f>
        <v/>
      </c>
      <c r="R18" s="3">
        <f>R14*Inputs!$E$65</f>
        <v/>
      </c>
      <c r="S18" s="3">
        <f>S14*Inputs!$E$65</f>
        <v/>
      </c>
      <c r="T18" s="3">
        <f>T14*Inputs!$E$65</f>
        <v/>
      </c>
      <c r="U18" s="3">
        <f>U14*Inputs!$E$65</f>
        <v/>
      </c>
      <c r="V18" s="3">
        <f>V14*Inputs!$E$65</f>
        <v/>
      </c>
      <c r="W18" s="3">
        <f>W14*Inputs!$E$65</f>
        <v/>
      </c>
      <c r="X18" s="3">
        <f>X14*Inputs!$E$65</f>
        <v/>
      </c>
      <c r="Y18" s="3">
        <f>Y14*Inputs!$E$65</f>
        <v/>
      </c>
      <c r="Z18" s="3">
        <f>Z14*Inputs!$E$65</f>
        <v/>
      </c>
      <c r="AA18" s="3">
        <f>AA14*Inputs!$E$65</f>
        <v/>
      </c>
      <c r="AB18" s="3">
        <f>AB14*Inputs!$E$65</f>
        <v/>
      </c>
      <c r="AC18" s="3">
        <f>AC14*Inputs!$E$65</f>
        <v/>
      </c>
      <c r="AD18" s="3">
        <f>AD14*Inputs!$E$65</f>
        <v/>
      </c>
      <c r="AE18" s="3">
        <f>AE14*Inputs!$E$65</f>
        <v/>
      </c>
      <c r="AF18" s="3">
        <f>AF14*Inputs!$E$65</f>
        <v/>
      </c>
      <c r="AG18" s="3">
        <f>AG14*Inputs!$E$65</f>
        <v/>
      </c>
      <c r="AH18" s="3">
        <f>AH14*Inputs!$E$65</f>
        <v/>
      </c>
      <c r="AI18" s="3">
        <f>AI14*Inputs!$E$65</f>
        <v/>
      </c>
      <c r="AJ18" s="3">
        <f>AJ14*Inputs!$E$65</f>
        <v/>
      </c>
      <c r="AK18" s="3">
        <f>AK14*Inputs!$E$65</f>
        <v/>
      </c>
      <c r="AL18" s="3">
        <f>AL14*Inputs!$E$65</f>
        <v/>
      </c>
      <c r="AM18" s="3">
        <f>AM14*Inputs!$E$65</f>
        <v/>
      </c>
      <c r="AN18" s="3">
        <f>AN14*Inputs!$E$65</f>
        <v/>
      </c>
      <c r="AO18" s="3">
        <f>AO14*Inputs!$E$65</f>
        <v/>
      </c>
      <c r="AP18" s="3">
        <f>AP14*Inputs!$E$65</f>
        <v/>
      </c>
      <c r="AQ18" s="3">
        <f>AQ14*Inputs!$E$65</f>
        <v/>
      </c>
      <c r="AR18" s="3">
        <f>AR14*Inputs!$E$65</f>
        <v/>
      </c>
      <c r="AS18" s="3">
        <f>AS14*Inputs!$E$65</f>
        <v/>
      </c>
      <c r="AT18" s="3">
        <f>AT14*Inputs!$E$65</f>
        <v/>
      </c>
      <c r="AU18" s="3">
        <f>AU14*Inputs!$E$65</f>
        <v/>
      </c>
      <c r="AV18" s="3">
        <f>AV14*Inputs!$E$65</f>
        <v/>
      </c>
      <c r="AW18" s="3">
        <f>AW14*Inputs!$E$65</f>
        <v/>
      </c>
      <c r="AX18" s="3">
        <f>AX14*Inputs!$E$65</f>
        <v/>
      </c>
      <c r="AY18" s="3">
        <f>AY14*Inputs!$E$65</f>
        <v/>
      </c>
      <c r="AZ18" s="3">
        <f>AZ14*Inputs!$E$65</f>
        <v/>
      </c>
      <c r="BA18" s="3">
        <f>BA14*Inputs!$E$65</f>
        <v/>
      </c>
      <c r="BB18" s="3">
        <f>BB14*Inputs!$E$65</f>
        <v/>
      </c>
      <c r="BC18" s="3">
        <f>BC14*Inputs!$E$65</f>
        <v/>
      </c>
      <c r="BD18" s="3">
        <f>BD14*Inputs!$E$65</f>
        <v/>
      </c>
      <c r="BE18" s="3">
        <f>BE14*Inputs!$E$65</f>
        <v/>
      </c>
      <c r="BF18" s="3">
        <f>BF14*Inputs!$E$65</f>
        <v/>
      </c>
      <c r="BG18" s="3">
        <f>BG14*Inputs!$E$65</f>
        <v/>
      </c>
      <c r="BH18" s="3">
        <f>BH14*Inputs!$E$65</f>
        <v/>
      </c>
      <c r="BI18" s="3">
        <f>BI14*Inputs!$E$65</f>
        <v/>
      </c>
      <c r="BJ18" s="3">
        <f>BJ14*Inputs!$E$65</f>
        <v/>
      </c>
    </row>
    <row r="19">
      <c r="A19" t="inlineStr">
        <is>
          <t>Other variable</t>
        </is>
      </c>
      <c r="C19" s="3">
        <f>C14*Inputs!$E$66</f>
        <v/>
      </c>
      <c r="D19" s="3">
        <f>D14*Inputs!$E$66</f>
        <v/>
      </c>
      <c r="E19" s="3">
        <f>E14*Inputs!$E$66</f>
        <v/>
      </c>
      <c r="F19" s="3">
        <f>F14*Inputs!$E$66</f>
        <v/>
      </c>
      <c r="G19" s="3">
        <f>G14*Inputs!$E$66</f>
        <v/>
      </c>
      <c r="H19" s="3">
        <f>H14*Inputs!$E$66</f>
        <v/>
      </c>
      <c r="I19" s="3">
        <f>I14*Inputs!$E$66</f>
        <v/>
      </c>
      <c r="J19" s="3">
        <f>J14*Inputs!$E$66</f>
        <v/>
      </c>
      <c r="K19" s="3">
        <f>K14*Inputs!$E$66</f>
        <v/>
      </c>
      <c r="L19" s="3">
        <f>L14*Inputs!$E$66</f>
        <v/>
      </c>
      <c r="M19" s="3">
        <f>M14*Inputs!$E$66</f>
        <v/>
      </c>
      <c r="N19" s="3">
        <f>N14*Inputs!$E$66</f>
        <v/>
      </c>
      <c r="O19" s="3">
        <f>O14*Inputs!$E$66</f>
        <v/>
      </c>
      <c r="P19" s="3">
        <f>P14*Inputs!$E$66</f>
        <v/>
      </c>
      <c r="Q19" s="3">
        <f>Q14*Inputs!$E$66</f>
        <v/>
      </c>
      <c r="R19" s="3">
        <f>R14*Inputs!$E$66</f>
        <v/>
      </c>
      <c r="S19" s="3">
        <f>S14*Inputs!$E$66</f>
        <v/>
      </c>
      <c r="T19" s="3">
        <f>T14*Inputs!$E$66</f>
        <v/>
      </c>
      <c r="U19" s="3">
        <f>U14*Inputs!$E$66</f>
        <v/>
      </c>
      <c r="V19" s="3">
        <f>V14*Inputs!$E$66</f>
        <v/>
      </c>
      <c r="W19" s="3">
        <f>W14*Inputs!$E$66</f>
        <v/>
      </c>
      <c r="X19" s="3">
        <f>X14*Inputs!$E$66</f>
        <v/>
      </c>
      <c r="Y19" s="3">
        <f>Y14*Inputs!$E$66</f>
        <v/>
      </c>
      <c r="Z19" s="3">
        <f>Z14*Inputs!$E$66</f>
        <v/>
      </c>
      <c r="AA19" s="3">
        <f>AA14*Inputs!$E$66</f>
        <v/>
      </c>
      <c r="AB19" s="3">
        <f>AB14*Inputs!$E$66</f>
        <v/>
      </c>
      <c r="AC19" s="3">
        <f>AC14*Inputs!$E$66</f>
        <v/>
      </c>
      <c r="AD19" s="3">
        <f>AD14*Inputs!$E$66</f>
        <v/>
      </c>
      <c r="AE19" s="3">
        <f>AE14*Inputs!$E$66</f>
        <v/>
      </c>
      <c r="AF19" s="3">
        <f>AF14*Inputs!$E$66</f>
        <v/>
      </c>
      <c r="AG19" s="3">
        <f>AG14*Inputs!$E$66</f>
        <v/>
      </c>
      <c r="AH19" s="3">
        <f>AH14*Inputs!$E$66</f>
        <v/>
      </c>
      <c r="AI19" s="3">
        <f>AI14*Inputs!$E$66</f>
        <v/>
      </c>
      <c r="AJ19" s="3">
        <f>AJ14*Inputs!$E$66</f>
        <v/>
      </c>
      <c r="AK19" s="3">
        <f>AK14*Inputs!$E$66</f>
        <v/>
      </c>
      <c r="AL19" s="3">
        <f>AL14*Inputs!$E$66</f>
        <v/>
      </c>
      <c r="AM19" s="3">
        <f>AM14*Inputs!$E$66</f>
        <v/>
      </c>
      <c r="AN19" s="3">
        <f>AN14*Inputs!$E$66</f>
        <v/>
      </c>
      <c r="AO19" s="3">
        <f>AO14*Inputs!$E$66</f>
        <v/>
      </c>
      <c r="AP19" s="3">
        <f>AP14*Inputs!$E$66</f>
        <v/>
      </c>
      <c r="AQ19" s="3">
        <f>AQ14*Inputs!$E$66</f>
        <v/>
      </c>
      <c r="AR19" s="3">
        <f>AR14*Inputs!$E$66</f>
        <v/>
      </c>
      <c r="AS19" s="3">
        <f>AS14*Inputs!$E$66</f>
        <v/>
      </c>
      <c r="AT19" s="3">
        <f>AT14*Inputs!$E$66</f>
        <v/>
      </c>
      <c r="AU19" s="3">
        <f>AU14*Inputs!$E$66</f>
        <v/>
      </c>
      <c r="AV19" s="3">
        <f>AV14*Inputs!$E$66</f>
        <v/>
      </c>
      <c r="AW19" s="3">
        <f>AW14*Inputs!$E$66</f>
        <v/>
      </c>
      <c r="AX19" s="3">
        <f>AX14*Inputs!$E$66</f>
        <v/>
      </c>
      <c r="AY19" s="3">
        <f>AY14*Inputs!$E$66</f>
        <v/>
      </c>
      <c r="AZ19" s="3">
        <f>AZ14*Inputs!$E$66</f>
        <v/>
      </c>
      <c r="BA19" s="3">
        <f>BA14*Inputs!$E$66</f>
        <v/>
      </c>
      <c r="BB19" s="3">
        <f>BB14*Inputs!$E$66</f>
        <v/>
      </c>
      <c r="BC19" s="3">
        <f>BC14*Inputs!$E$66</f>
        <v/>
      </c>
      <c r="BD19" s="3">
        <f>BD14*Inputs!$E$66</f>
        <v/>
      </c>
      <c r="BE19" s="3">
        <f>BE14*Inputs!$E$66</f>
        <v/>
      </c>
      <c r="BF19" s="3">
        <f>BF14*Inputs!$E$66</f>
        <v/>
      </c>
      <c r="BG19" s="3">
        <f>BG14*Inputs!$E$66</f>
        <v/>
      </c>
      <c r="BH19" s="3">
        <f>BH14*Inputs!$E$66</f>
        <v/>
      </c>
      <c r="BI19" s="3">
        <f>BI14*Inputs!$E$66</f>
        <v/>
      </c>
      <c r="BJ19" s="3">
        <f>BJ14*Inputs!$E$66</f>
        <v/>
      </c>
    </row>
    <row r="20">
      <c r="A20" t="inlineStr">
        <is>
          <t>Utilities</t>
        </is>
      </c>
      <c r="C20" s="3">
        <f>INDEX(Inputs!$D$84:$F$84,1,Inputs!$E$17)*(1+Inputs!$E$74)^(C4-1)+C14*Inputs!$E$67</f>
        <v/>
      </c>
      <c r="D20" s="3">
        <f>INDEX(Inputs!$D$84:$F$84,1,Inputs!$E$17)*(1+Inputs!$E$74)^(D4-1)+D14*Inputs!$E$67</f>
        <v/>
      </c>
      <c r="E20" s="3">
        <f>INDEX(Inputs!$D$84:$F$84,1,Inputs!$E$17)*(1+Inputs!$E$74)^(E4-1)+E14*Inputs!$E$67</f>
        <v/>
      </c>
      <c r="F20" s="3">
        <f>INDEX(Inputs!$D$84:$F$84,1,Inputs!$E$17)*(1+Inputs!$E$74)^(F4-1)+F14*Inputs!$E$67</f>
        <v/>
      </c>
      <c r="G20" s="3">
        <f>INDEX(Inputs!$D$84:$F$84,1,Inputs!$E$17)*(1+Inputs!$E$74)^(G4-1)+G14*Inputs!$E$67</f>
        <v/>
      </c>
      <c r="H20" s="3">
        <f>INDEX(Inputs!$D$84:$F$84,1,Inputs!$E$17)*(1+Inputs!$E$74)^(H4-1)+H14*Inputs!$E$67</f>
        <v/>
      </c>
      <c r="I20" s="3">
        <f>INDEX(Inputs!$D$84:$F$84,1,Inputs!$E$17)*(1+Inputs!$E$74)^(I4-1)+I14*Inputs!$E$67</f>
        <v/>
      </c>
      <c r="J20" s="3">
        <f>INDEX(Inputs!$D$84:$F$84,1,Inputs!$E$17)*(1+Inputs!$E$74)^(J4-1)+J14*Inputs!$E$67</f>
        <v/>
      </c>
      <c r="K20" s="3">
        <f>INDEX(Inputs!$D$84:$F$84,1,Inputs!$E$17)*(1+Inputs!$E$74)^(K4-1)+K14*Inputs!$E$67</f>
        <v/>
      </c>
      <c r="L20" s="3">
        <f>INDEX(Inputs!$D$84:$F$84,1,Inputs!$E$17)*(1+Inputs!$E$74)^(L4-1)+L14*Inputs!$E$67</f>
        <v/>
      </c>
      <c r="M20" s="3">
        <f>INDEX(Inputs!$D$84:$F$84,1,Inputs!$E$17)*(1+Inputs!$E$74)^(M4-1)+M14*Inputs!$E$67</f>
        <v/>
      </c>
      <c r="N20" s="3">
        <f>INDEX(Inputs!$D$84:$F$84,1,Inputs!$E$17)*(1+Inputs!$E$74)^(N4-1)+N14*Inputs!$E$67</f>
        <v/>
      </c>
      <c r="O20" s="3">
        <f>INDEX(Inputs!$D$84:$F$84,1,Inputs!$E$17)*(1+Inputs!$E$74)^(O4-1)+O14*Inputs!$E$67</f>
        <v/>
      </c>
      <c r="P20" s="3">
        <f>INDEX(Inputs!$D$84:$F$84,1,Inputs!$E$17)*(1+Inputs!$E$74)^(P4-1)+P14*Inputs!$E$67</f>
        <v/>
      </c>
      <c r="Q20" s="3">
        <f>INDEX(Inputs!$D$84:$F$84,1,Inputs!$E$17)*(1+Inputs!$E$74)^(Q4-1)+Q14*Inputs!$E$67</f>
        <v/>
      </c>
      <c r="R20" s="3">
        <f>INDEX(Inputs!$D$84:$F$84,1,Inputs!$E$17)*(1+Inputs!$E$74)^(R4-1)+R14*Inputs!$E$67</f>
        <v/>
      </c>
      <c r="S20" s="3">
        <f>INDEX(Inputs!$D$84:$F$84,1,Inputs!$E$17)*(1+Inputs!$E$74)^(S4-1)+S14*Inputs!$E$67</f>
        <v/>
      </c>
      <c r="T20" s="3">
        <f>INDEX(Inputs!$D$84:$F$84,1,Inputs!$E$17)*(1+Inputs!$E$74)^(T4-1)+T14*Inputs!$E$67</f>
        <v/>
      </c>
      <c r="U20" s="3">
        <f>INDEX(Inputs!$D$84:$F$84,1,Inputs!$E$17)*(1+Inputs!$E$74)^(U4-1)+U14*Inputs!$E$67</f>
        <v/>
      </c>
      <c r="V20" s="3">
        <f>INDEX(Inputs!$D$84:$F$84,1,Inputs!$E$17)*(1+Inputs!$E$74)^(V4-1)+V14*Inputs!$E$67</f>
        <v/>
      </c>
      <c r="W20" s="3">
        <f>INDEX(Inputs!$D$84:$F$84,1,Inputs!$E$17)*(1+Inputs!$E$74)^(W4-1)+W14*Inputs!$E$67</f>
        <v/>
      </c>
      <c r="X20" s="3">
        <f>INDEX(Inputs!$D$84:$F$84,1,Inputs!$E$17)*(1+Inputs!$E$74)^(X4-1)+X14*Inputs!$E$67</f>
        <v/>
      </c>
      <c r="Y20" s="3">
        <f>INDEX(Inputs!$D$84:$F$84,1,Inputs!$E$17)*(1+Inputs!$E$74)^(Y4-1)+Y14*Inputs!$E$67</f>
        <v/>
      </c>
      <c r="Z20" s="3">
        <f>INDEX(Inputs!$D$84:$F$84,1,Inputs!$E$17)*(1+Inputs!$E$74)^(Z4-1)+Z14*Inputs!$E$67</f>
        <v/>
      </c>
      <c r="AA20" s="3">
        <f>INDEX(Inputs!$D$84:$F$84,1,Inputs!$E$17)*(1+Inputs!$E$74)^(AA4-1)+AA14*Inputs!$E$67</f>
        <v/>
      </c>
      <c r="AB20" s="3">
        <f>INDEX(Inputs!$D$84:$F$84,1,Inputs!$E$17)*(1+Inputs!$E$74)^(AB4-1)+AB14*Inputs!$E$67</f>
        <v/>
      </c>
      <c r="AC20" s="3">
        <f>INDEX(Inputs!$D$84:$F$84,1,Inputs!$E$17)*(1+Inputs!$E$74)^(AC4-1)+AC14*Inputs!$E$67</f>
        <v/>
      </c>
      <c r="AD20" s="3">
        <f>INDEX(Inputs!$D$84:$F$84,1,Inputs!$E$17)*(1+Inputs!$E$74)^(AD4-1)+AD14*Inputs!$E$67</f>
        <v/>
      </c>
      <c r="AE20" s="3">
        <f>INDEX(Inputs!$D$84:$F$84,1,Inputs!$E$17)*(1+Inputs!$E$74)^(AE4-1)+AE14*Inputs!$E$67</f>
        <v/>
      </c>
      <c r="AF20" s="3">
        <f>INDEX(Inputs!$D$84:$F$84,1,Inputs!$E$17)*(1+Inputs!$E$74)^(AF4-1)+AF14*Inputs!$E$67</f>
        <v/>
      </c>
      <c r="AG20" s="3">
        <f>INDEX(Inputs!$D$84:$F$84,1,Inputs!$E$17)*(1+Inputs!$E$74)^(AG4-1)+AG14*Inputs!$E$67</f>
        <v/>
      </c>
      <c r="AH20" s="3">
        <f>INDEX(Inputs!$D$84:$F$84,1,Inputs!$E$17)*(1+Inputs!$E$74)^(AH4-1)+AH14*Inputs!$E$67</f>
        <v/>
      </c>
      <c r="AI20" s="3">
        <f>INDEX(Inputs!$D$84:$F$84,1,Inputs!$E$17)*(1+Inputs!$E$74)^(AI4-1)+AI14*Inputs!$E$67</f>
        <v/>
      </c>
      <c r="AJ20" s="3">
        <f>INDEX(Inputs!$D$84:$F$84,1,Inputs!$E$17)*(1+Inputs!$E$74)^(AJ4-1)+AJ14*Inputs!$E$67</f>
        <v/>
      </c>
      <c r="AK20" s="3">
        <f>INDEX(Inputs!$D$84:$F$84,1,Inputs!$E$17)*(1+Inputs!$E$74)^(AK4-1)+AK14*Inputs!$E$67</f>
        <v/>
      </c>
      <c r="AL20" s="3">
        <f>INDEX(Inputs!$D$84:$F$84,1,Inputs!$E$17)*(1+Inputs!$E$74)^(AL4-1)+AL14*Inputs!$E$67</f>
        <v/>
      </c>
      <c r="AM20" s="3">
        <f>INDEX(Inputs!$D$84:$F$84,1,Inputs!$E$17)*(1+Inputs!$E$74)^(AM4-1)+AM14*Inputs!$E$67</f>
        <v/>
      </c>
      <c r="AN20" s="3">
        <f>INDEX(Inputs!$D$84:$F$84,1,Inputs!$E$17)*(1+Inputs!$E$74)^(AN4-1)+AN14*Inputs!$E$67</f>
        <v/>
      </c>
      <c r="AO20" s="3">
        <f>INDEX(Inputs!$D$84:$F$84,1,Inputs!$E$17)*(1+Inputs!$E$74)^(AO4-1)+AO14*Inputs!$E$67</f>
        <v/>
      </c>
      <c r="AP20" s="3">
        <f>INDEX(Inputs!$D$84:$F$84,1,Inputs!$E$17)*(1+Inputs!$E$74)^(AP4-1)+AP14*Inputs!$E$67</f>
        <v/>
      </c>
      <c r="AQ20" s="3">
        <f>INDEX(Inputs!$D$84:$F$84,1,Inputs!$E$17)*(1+Inputs!$E$74)^(AQ4-1)+AQ14*Inputs!$E$67</f>
        <v/>
      </c>
      <c r="AR20" s="3">
        <f>INDEX(Inputs!$D$84:$F$84,1,Inputs!$E$17)*(1+Inputs!$E$74)^(AR4-1)+AR14*Inputs!$E$67</f>
        <v/>
      </c>
      <c r="AS20" s="3">
        <f>INDEX(Inputs!$D$84:$F$84,1,Inputs!$E$17)*(1+Inputs!$E$74)^(AS4-1)+AS14*Inputs!$E$67</f>
        <v/>
      </c>
      <c r="AT20" s="3">
        <f>INDEX(Inputs!$D$84:$F$84,1,Inputs!$E$17)*(1+Inputs!$E$74)^(AT4-1)+AT14*Inputs!$E$67</f>
        <v/>
      </c>
      <c r="AU20" s="3">
        <f>INDEX(Inputs!$D$84:$F$84,1,Inputs!$E$17)*(1+Inputs!$E$74)^(AU4-1)+AU14*Inputs!$E$67</f>
        <v/>
      </c>
      <c r="AV20" s="3">
        <f>INDEX(Inputs!$D$84:$F$84,1,Inputs!$E$17)*(1+Inputs!$E$74)^(AV4-1)+AV14*Inputs!$E$67</f>
        <v/>
      </c>
      <c r="AW20" s="3">
        <f>INDEX(Inputs!$D$84:$F$84,1,Inputs!$E$17)*(1+Inputs!$E$74)^(AW4-1)+AW14*Inputs!$E$67</f>
        <v/>
      </c>
      <c r="AX20" s="3">
        <f>INDEX(Inputs!$D$84:$F$84,1,Inputs!$E$17)*(1+Inputs!$E$74)^(AX4-1)+AX14*Inputs!$E$67</f>
        <v/>
      </c>
      <c r="AY20" s="3">
        <f>INDEX(Inputs!$D$84:$F$84,1,Inputs!$E$17)*(1+Inputs!$E$74)^(AY4-1)+AY14*Inputs!$E$67</f>
        <v/>
      </c>
      <c r="AZ20" s="3">
        <f>INDEX(Inputs!$D$84:$F$84,1,Inputs!$E$17)*(1+Inputs!$E$74)^(AZ4-1)+AZ14*Inputs!$E$67</f>
        <v/>
      </c>
      <c r="BA20" s="3">
        <f>INDEX(Inputs!$D$84:$F$84,1,Inputs!$E$17)*(1+Inputs!$E$74)^(BA4-1)+BA14*Inputs!$E$67</f>
        <v/>
      </c>
      <c r="BB20" s="3">
        <f>INDEX(Inputs!$D$84:$F$84,1,Inputs!$E$17)*(1+Inputs!$E$74)^(BB4-1)+BB14*Inputs!$E$67</f>
        <v/>
      </c>
      <c r="BC20" s="3">
        <f>INDEX(Inputs!$D$84:$F$84,1,Inputs!$E$17)*(1+Inputs!$E$74)^(BC4-1)+BC14*Inputs!$E$67</f>
        <v/>
      </c>
      <c r="BD20" s="3">
        <f>INDEX(Inputs!$D$84:$F$84,1,Inputs!$E$17)*(1+Inputs!$E$74)^(BD4-1)+BD14*Inputs!$E$67</f>
        <v/>
      </c>
      <c r="BE20" s="3">
        <f>INDEX(Inputs!$D$84:$F$84,1,Inputs!$E$17)*(1+Inputs!$E$74)^(BE4-1)+BE14*Inputs!$E$67</f>
        <v/>
      </c>
      <c r="BF20" s="3">
        <f>INDEX(Inputs!$D$84:$F$84,1,Inputs!$E$17)*(1+Inputs!$E$74)^(BF4-1)+BF14*Inputs!$E$67</f>
        <v/>
      </c>
      <c r="BG20" s="3">
        <f>INDEX(Inputs!$D$84:$F$84,1,Inputs!$E$17)*(1+Inputs!$E$74)^(BG4-1)+BG14*Inputs!$E$67</f>
        <v/>
      </c>
      <c r="BH20" s="3">
        <f>INDEX(Inputs!$D$84:$F$84,1,Inputs!$E$17)*(1+Inputs!$E$74)^(BH4-1)+BH14*Inputs!$E$67</f>
        <v/>
      </c>
      <c r="BI20" s="3">
        <f>INDEX(Inputs!$D$84:$F$84,1,Inputs!$E$17)*(1+Inputs!$E$74)^(BI4-1)+BI14*Inputs!$E$67</f>
        <v/>
      </c>
      <c r="BJ20" s="3">
        <f>INDEX(Inputs!$D$84:$F$84,1,Inputs!$E$17)*(1+Inputs!$E$74)^(BJ4-1)+BJ14*Inputs!$E$67</f>
        <v/>
      </c>
    </row>
    <row r="21">
      <c r="A21" t="inlineStr">
        <is>
          <t>Peak-season flag</t>
        </is>
      </c>
      <c r="C21" s="7">
        <f>IF(C7&gt;=Inputs!$E$73,1,0)</f>
        <v/>
      </c>
      <c r="D21" s="7">
        <f>IF(D7&gt;=Inputs!$E$73,1,0)</f>
        <v/>
      </c>
      <c r="E21" s="7">
        <f>IF(E7&gt;=Inputs!$E$73,1,0)</f>
        <v/>
      </c>
      <c r="F21" s="7">
        <f>IF(F7&gt;=Inputs!$E$73,1,0)</f>
        <v/>
      </c>
      <c r="G21" s="7">
        <f>IF(G7&gt;=Inputs!$E$73,1,0)</f>
        <v/>
      </c>
      <c r="H21" s="7">
        <f>IF(H7&gt;=Inputs!$E$73,1,0)</f>
        <v/>
      </c>
      <c r="I21" s="7">
        <f>IF(I7&gt;=Inputs!$E$73,1,0)</f>
        <v/>
      </c>
      <c r="J21" s="7">
        <f>IF(J7&gt;=Inputs!$E$73,1,0)</f>
        <v/>
      </c>
      <c r="K21" s="7">
        <f>IF(K7&gt;=Inputs!$E$73,1,0)</f>
        <v/>
      </c>
      <c r="L21" s="7">
        <f>IF(L7&gt;=Inputs!$E$73,1,0)</f>
        <v/>
      </c>
      <c r="M21" s="7">
        <f>IF(M7&gt;=Inputs!$E$73,1,0)</f>
        <v/>
      </c>
      <c r="N21" s="7">
        <f>IF(N7&gt;=Inputs!$E$73,1,0)</f>
        <v/>
      </c>
      <c r="O21" s="7">
        <f>IF(O7&gt;=Inputs!$E$73,1,0)</f>
        <v/>
      </c>
      <c r="P21" s="7">
        <f>IF(P7&gt;=Inputs!$E$73,1,0)</f>
        <v/>
      </c>
      <c r="Q21" s="7">
        <f>IF(Q7&gt;=Inputs!$E$73,1,0)</f>
        <v/>
      </c>
      <c r="R21" s="7">
        <f>IF(R7&gt;=Inputs!$E$73,1,0)</f>
        <v/>
      </c>
      <c r="S21" s="7">
        <f>IF(S7&gt;=Inputs!$E$73,1,0)</f>
        <v/>
      </c>
      <c r="T21" s="7">
        <f>IF(T7&gt;=Inputs!$E$73,1,0)</f>
        <v/>
      </c>
      <c r="U21" s="7">
        <f>IF(U7&gt;=Inputs!$E$73,1,0)</f>
        <v/>
      </c>
      <c r="V21" s="7">
        <f>IF(V7&gt;=Inputs!$E$73,1,0)</f>
        <v/>
      </c>
      <c r="W21" s="7">
        <f>IF(W7&gt;=Inputs!$E$73,1,0)</f>
        <v/>
      </c>
      <c r="X21" s="7">
        <f>IF(X7&gt;=Inputs!$E$73,1,0)</f>
        <v/>
      </c>
      <c r="Y21" s="7">
        <f>IF(Y7&gt;=Inputs!$E$73,1,0)</f>
        <v/>
      </c>
      <c r="Z21" s="7">
        <f>IF(Z7&gt;=Inputs!$E$73,1,0)</f>
        <v/>
      </c>
      <c r="AA21" s="7">
        <f>IF(AA7&gt;=Inputs!$E$73,1,0)</f>
        <v/>
      </c>
      <c r="AB21" s="7">
        <f>IF(AB7&gt;=Inputs!$E$73,1,0)</f>
        <v/>
      </c>
      <c r="AC21" s="7">
        <f>IF(AC7&gt;=Inputs!$E$73,1,0)</f>
        <v/>
      </c>
      <c r="AD21" s="7">
        <f>IF(AD7&gt;=Inputs!$E$73,1,0)</f>
        <v/>
      </c>
      <c r="AE21" s="7">
        <f>IF(AE7&gt;=Inputs!$E$73,1,0)</f>
        <v/>
      </c>
      <c r="AF21" s="7">
        <f>IF(AF7&gt;=Inputs!$E$73,1,0)</f>
        <v/>
      </c>
      <c r="AG21" s="7">
        <f>IF(AG7&gt;=Inputs!$E$73,1,0)</f>
        <v/>
      </c>
      <c r="AH21" s="7">
        <f>IF(AH7&gt;=Inputs!$E$73,1,0)</f>
        <v/>
      </c>
      <c r="AI21" s="7">
        <f>IF(AI7&gt;=Inputs!$E$73,1,0)</f>
        <v/>
      </c>
      <c r="AJ21" s="7">
        <f>IF(AJ7&gt;=Inputs!$E$73,1,0)</f>
        <v/>
      </c>
      <c r="AK21" s="7">
        <f>IF(AK7&gt;=Inputs!$E$73,1,0)</f>
        <v/>
      </c>
      <c r="AL21" s="7">
        <f>IF(AL7&gt;=Inputs!$E$73,1,0)</f>
        <v/>
      </c>
      <c r="AM21" s="7">
        <f>IF(AM7&gt;=Inputs!$E$73,1,0)</f>
        <v/>
      </c>
      <c r="AN21" s="7">
        <f>IF(AN7&gt;=Inputs!$E$73,1,0)</f>
        <v/>
      </c>
      <c r="AO21" s="7">
        <f>IF(AO7&gt;=Inputs!$E$73,1,0)</f>
        <v/>
      </c>
      <c r="AP21" s="7">
        <f>IF(AP7&gt;=Inputs!$E$73,1,0)</f>
        <v/>
      </c>
      <c r="AQ21" s="7">
        <f>IF(AQ7&gt;=Inputs!$E$73,1,0)</f>
        <v/>
      </c>
      <c r="AR21" s="7">
        <f>IF(AR7&gt;=Inputs!$E$73,1,0)</f>
        <v/>
      </c>
      <c r="AS21" s="7">
        <f>IF(AS7&gt;=Inputs!$E$73,1,0)</f>
        <v/>
      </c>
      <c r="AT21" s="7">
        <f>IF(AT7&gt;=Inputs!$E$73,1,0)</f>
        <v/>
      </c>
      <c r="AU21" s="7">
        <f>IF(AU7&gt;=Inputs!$E$73,1,0)</f>
        <v/>
      </c>
      <c r="AV21" s="7">
        <f>IF(AV7&gt;=Inputs!$E$73,1,0)</f>
        <v/>
      </c>
      <c r="AW21" s="7">
        <f>IF(AW7&gt;=Inputs!$E$73,1,0)</f>
        <v/>
      </c>
      <c r="AX21" s="7">
        <f>IF(AX7&gt;=Inputs!$E$73,1,0)</f>
        <v/>
      </c>
      <c r="AY21" s="7">
        <f>IF(AY7&gt;=Inputs!$E$73,1,0)</f>
        <v/>
      </c>
      <c r="AZ21" s="7">
        <f>IF(AZ7&gt;=Inputs!$E$73,1,0)</f>
        <v/>
      </c>
      <c r="BA21" s="7">
        <f>IF(BA7&gt;=Inputs!$E$73,1,0)</f>
        <v/>
      </c>
      <c r="BB21" s="7">
        <f>IF(BB7&gt;=Inputs!$E$73,1,0)</f>
        <v/>
      </c>
      <c r="BC21" s="7">
        <f>IF(BC7&gt;=Inputs!$E$73,1,0)</f>
        <v/>
      </c>
      <c r="BD21" s="7">
        <f>IF(BD7&gt;=Inputs!$E$73,1,0)</f>
        <v/>
      </c>
      <c r="BE21" s="7">
        <f>IF(BE7&gt;=Inputs!$E$73,1,0)</f>
        <v/>
      </c>
      <c r="BF21" s="7">
        <f>IF(BF7&gt;=Inputs!$E$73,1,0)</f>
        <v/>
      </c>
      <c r="BG21" s="7">
        <f>IF(BG7&gt;=Inputs!$E$73,1,0)</f>
        <v/>
      </c>
      <c r="BH21" s="7">
        <f>IF(BH7&gt;=Inputs!$E$73,1,0)</f>
        <v/>
      </c>
      <c r="BI21" s="7">
        <f>IF(BI7&gt;=Inputs!$E$73,1,0)</f>
        <v/>
      </c>
      <c r="BJ21" s="7">
        <f>IF(BJ7&gt;=Inputs!$E$73,1,0)</f>
        <v/>
      </c>
    </row>
    <row r="22">
      <c r="A22" t="inlineStr">
        <is>
          <t>FTE</t>
        </is>
      </c>
      <c r="C22" s="24">
        <f>INDEX(Inputs!$D$80:$F$80,1,Inputs!$E$17)+C21*INDEX(Inputs!$D$81:$F$81,1,Inputs!$E$17)</f>
        <v/>
      </c>
      <c r="D22" s="24">
        <f>INDEX(Inputs!$D$80:$F$80,1,Inputs!$E$17)+D21*INDEX(Inputs!$D$81:$F$81,1,Inputs!$E$17)</f>
        <v/>
      </c>
      <c r="E22" s="24">
        <f>INDEX(Inputs!$D$80:$F$80,1,Inputs!$E$17)+E21*INDEX(Inputs!$D$81:$F$81,1,Inputs!$E$17)</f>
        <v/>
      </c>
      <c r="F22" s="24">
        <f>INDEX(Inputs!$D$80:$F$80,1,Inputs!$E$17)+F21*INDEX(Inputs!$D$81:$F$81,1,Inputs!$E$17)</f>
        <v/>
      </c>
      <c r="G22" s="24">
        <f>INDEX(Inputs!$D$80:$F$80,1,Inputs!$E$17)+G21*INDEX(Inputs!$D$81:$F$81,1,Inputs!$E$17)</f>
        <v/>
      </c>
      <c r="H22" s="24">
        <f>INDEX(Inputs!$D$80:$F$80,1,Inputs!$E$17)+H21*INDEX(Inputs!$D$81:$F$81,1,Inputs!$E$17)</f>
        <v/>
      </c>
      <c r="I22" s="24">
        <f>INDEX(Inputs!$D$80:$F$80,1,Inputs!$E$17)+I21*INDEX(Inputs!$D$81:$F$81,1,Inputs!$E$17)</f>
        <v/>
      </c>
      <c r="J22" s="24">
        <f>INDEX(Inputs!$D$80:$F$80,1,Inputs!$E$17)+J21*INDEX(Inputs!$D$81:$F$81,1,Inputs!$E$17)</f>
        <v/>
      </c>
      <c r="K22" s="24">
        <f>INDEX(Inputs!$D$80:$F$80,1,Inputs!$E$17)+K21*INDEX(Inputs!$D$81:$F$81,1,Inputs!$E$17)</f>
        <v/>
      </c>
      <c r="L22" s="24">
        <f>INDEX(Inputs!$D$80:$F$80,1,Inputs!$E$17)+L21*INDEX(Inputs!$D$81:$F$81,1,Inputs!$E$17)</f>
        <v/>
      </c>
      <c r="M22" s="24">
        <f>INDEX(Inputs!$D$80:$F$80,1,Inputs!$E$17)+M21*INDEX(Inputs!$D$81:$F$81,1,Inputs!$E$17)</f>
        <v/>
      </c>
      <c r="N22" s="24">
        <f>INDEX(Inputs!$D$80:$F$80,1,Inputs!$E$17)+N21*INDEX(Inputs!$D$81:$F$81,1,Inputs!$E$17)</f>
        <v/>
      </c>
      <c r="O22" s="24">
        <f>INDEX(Inputs!$D$80:$F$80,1,Inputs!$E$17)+O21*INDEX(Inputs!$D$81:$F$81,1,Inputs!$E$17)</f>
        <v/>
      </c>
      <c r="P22" s="24">
        <f>INDEX(Inputs!$D$80:$F$80,1,Inputs!$E$17)+P21*INDEX(Inputs!$D$81:$F$81,1,Inputs!$E$17)</f>
        <v/>
      </c>
      <c r="Q22" s="24">
        <f>INDEX(Inputs!$D$80:$F$80,1,Inputs!$E$17)+Q21*INDEX(Inputs!$D$81:$F$81,1,Inputs!$E$17)</f>
        <v/>
      </c>
      <c r="R22" s="24">
        <f>INDEX(Inputs!$D$80:$F$80,1,Inputs!$E$17)+R21*INDEX(Inputs!$D$81:$F$81,1,Inputs!$E$17)</f>
        <v/>
      </c>
      <c r="S22" s="24">
        <f>INDEX(Inputs!$D$80:$F$80,1,Inputs!$E$17)+S21*INDEX(Inputs!$D$81:$F$81,1,Inputs!$E$17)</f>
        <v/>
      </c>
      <c r="T22" s="24">
        <f>INDEX(Inputs!$D$80:$F$80,1,Inputs!$E$17)+T21*INDEX(Inputs!$D$81:$F$81,1,Inputs!$E$17)</f>
        <v/>
      </c>
      <c r="U22" s="24">
        <f>INDEX(Inputs!$D$80:$F$80,1,Inputs!$E$17)+U21*INDEX(Inputs!$D$81:$F$81,1,Inputs!$E$17)</f>
        <v/>
      </c>
      <c r="V22" s="24">
        <f>INDEX(Inputs!$D$80:$F$80,1,Inputs!$E$17)+V21*INDEX(Inputs!$D$81:$F$81,1,Inputs!$E$17)</f>
        <v/>
      </c>
      <c r="W22" s="24">
        <f>INDEX(Inputs!$D$80:$F$80,1,Inputs!$E$17)+W21*INDEX(Inputs!$D$81:$F$81,1,Inputs!$E$17)</f>
        <v/>
      </c>
      <c r="X22" s="24">
        <f>INDEX(Inputs!$D$80:$F$80,1,Inputs!$E$17)+X21*INDEX(Inputs!$D$81:$F$81,1,Inputs!$E$17)</f>
        <v/>
      </c>
      <c r="Y22" s="24">
        <f>INDEX(Inputs!$D$80:$F$80,1,Inputs!$E$17)+Y21*INDEX(Inputs!$D$81:$F$81,1,Inputs!$E$17)</f>
        <v/>
      </c>
      <c r="Z22" s="24">
        <f>INDEX(Inputs!$D$80:$F$80,1,Inputs!$E$17)+Z21*INDEX(Inputs!$D$81:$F$81,1,Inputs!$E$17)</f>
        <v/>
      </c>
      <c r="AA22" s="24">
        <f>INDEX(Inputs!$D$80:$F$80,1,Inputs!$E$17)+AA21*INDEX(Inputs!$D$81:$F$81,1,Inputs!$E$17)</f>
        <v/>
      </c>
      <c r="AB22" s="24">
        <f>INDEX(Inputs!$D$80:$F$80,1,Inputs!$E$17)+AB21*INDEX(Inputs!$D$81:$F$81,1,Inputs!$E$17)</f>
        <v/>
      </c>
      <c r="AC22" s="24">
        <f>INDEX(Inputs!$D$80:$F$80,1,Inputs!$E$17)+AC21*INDEX(Inputs!$D$81:$F$81,1,Inputs!$E$17)</f>
        <v/>
      </c>
      <c r="AD22" s="24">
        <f>INDEX(Inputs!$D$80:$F$80,1,Inputs!$E$17)+AD21*INDEX(Inputs!$D$81:$F$81,1,Inputs!$E$17)</f>
        <v/>
      </c>
      <c r="AE22" s="24">
        <f>INDEX(Inputs!$D$80:$F$80,1,Inputs!$E$17)+AE21*INDEX(Inputs!$D$81:$F$81,1,Inputs!$E$17)</f>
        <v/>
      </c>
      <c r="AF22" s="24">
        <f>INDEX(Inputs!$D$80:$F$80,1,Inputs!$E$17)+AF21*INDEX(Inputs!$D$81:$F$81,1,Inputs!$E$17)</f>
        <v/>
      </c>
      <c r="AG22" s="24">
        <f>INDEX(Inputs!$D$80:$F$80,1,Inputs!$E$17)+AG21*INDEX(Inputs!$D$81:$F$81,1,Inputs!$E$17)</f>
        <v/>
      </c>
      <c r="AH22" s="24">
        <f>INDEX(Inputs!$D$80:$F$80,1,Inputs!$E$17)+AH21*INDEX(Inputs!$D$81:$F$81,1,Inputs!$E$17)</f>
        <v/>
      </c>
      <c r="AI22" s="24">
        <f>INDEX(Inputs!$D$80:$F$80,1,Inputs!$E$17)+AI21*INDEX(Inputs!$D$81:$F$81,1,Inputs!$E$17)</f>
        <v/>
      </c>
      <c r="AJ22" s="24">
        <f>INDEX(Inputs!$D$80:$F$80,1,Inputs!$E$17)+AJ21*INDEX(Inputs!$D$81:$F$81,1,Inputs!$E$17)</f>
        <v/>
      </c>
      <c r="AK22" s="24">
        <f>INDEX(Inputs!$D$80:$F$80,1,Inputs!$E$17)+AK21*INDEX(Inputs!$D$81:$F$81,1,Inputs!$E$17)</f>
        <v/>
      </c>
      <c r="AL22" s="24">
        <f>INDEX(Inputs!$D$80:$F$80,1,Inputs!$E$17)+AL21*INDEX(Inputs!$D$81:$F$81,1,Inputs!$E$17)</f>
        <v/>
      </c>
      <c r="AM22" s="24">
        <f>INDEX(Inputs!$D$80:$F$80,1,Inputs!$E$17)+AM21*INDEX(Inputs!$D$81:$F$81,1,Inputs!$E$17)</f>
        <v/>
      </c>
      <c r="AN22" s="24">
        <f>INDEX(Inputs!$D$80:$F$80,1,Inputs!$E$17)+AN21*INDEX(Inputs!$D$81:$F$81,1,Inputs!$E$17)</f>
        <v/>
      </c>
      <c r="AO22" s="24">
        <f>INDEX(Inputs!$D$80:$F$80,1,Inputs!$E$17)+AO21*INDEX(Inputs!$D$81:$F$81,1,Inputs!$E$17)</f>
        <v/>
      </c>
      <c r="AP22" s="24">
        <f>INDEX(Inputs!$D$80:$F$80,1,Inputs!$E$17)+AP21*INDEX(Inputs!$D$81:$F$81,1,Inputs!$E$17)</f>
        <v/>
      </c>
      <c r="AQ22" s="24">
        <f>INDEX(Inputs!$D$80:$F$80,1,Inputs!$E$17)+AQ21*INDEX(Inputs!$D$81:$F$81,1,Inputs!$E$17)</f>
        <v/>
      </c>
      <c r="AR22" s="24">
        <f>INDEX(Inputs!$D$80:$F$80,1,Inputs!$E$17)+AR21*INDEX(Inputs!$D$81:$F$81,1,Inputs!$E$17)</f>
        <v/>
      </c>
      <c r="AS22" s="24">
        <f>INDEX(Inputs!$D$80:$F$80,1,Inputs!$E$17)+AS21*INDEX(Inputs!$D$81:$F$81,1,Inputs!$E$17)</f>
        <v/>
      </c>
      <c r="AT22" s="24">
        <f>INDEX(Inputs!$D$80:$F$80,1,Inputs!$E$17)+AT21*INDEX(Inputs!$D$81:$F$81,1,Inputs!$E$17)</f>
        <v/>
      </c>
      <c r="AU22" s="24">
        <f>INDEX(Inputs!$D$80:$F$80,1,Inputs!$E$17)+AU21*INDEX(Inputs!$D$81:$F$81,1,Inputs!$E$17)</f>
        <v/>
      </c>
      <c r="AV22" s="24">
        <f>INDEX(Inputs!$D$80:$F$80,1,Inputs!$E$17)+AV21*INDEX(Inputs!$D$81:$F$81,1,Inputs!$E$17)</f>
        <v/>
      </c>
      <c r="AW22" s="24">
        <f>INDEX(Inputs!$D$80:$F$80,1,Inputs!$E$17)+AW21*INDEX(Inputs!$D$81:$F$81,1,Inputs!$E$17)</f>
        <v/>
      </c>
      <c r="AX22" s="24">
        <f>INDEX(Inputs!$D$80:$F$80,1,Inputs!$E$17)+AX21*INDEX(Inputs!$D$81:$F$81,1,Inputs!$E$17)</f>
        <v/>
      </c>
      <c r="AY22" s="24">
        <f>INDEX(Inputs!$D$80:$F$80,1,Inputs!$E$17)+AY21*INDEX(Inputs!$D$81:$F$81,1,Inputs!$E$17)</f>
        <v/>
      </c>
      <c r="AZ22" s="24">
        <f>INDEX(Inputs!$D$80:$F$80,1,Inputs!$E$17)+AZ21*INDEX(Inputs!$D$81:$F$81,1,Inputs!$E$17)</f>
        <v/>
      </c>
      <c r="BA22" s="24">
        <f>INDEX(Inputs!$D$80:$F$80,1,Inputs!$E$17)+BA21*INDEX(Inputs!$D$81:$F$81,1,Inputs!$E$17)</f>
        <v/>
      </c>
      <c r="BB22" s="24">
        <f>INDEX(Inputs!$D$80:$F$80,1,Inputs!$E$17)+BB21*INDEX(Inputs!$D$81:$F$81,1,Inputs!$E$17)</f>
        <v/>
      </c>
      <c r="BC22" s="24">
        <f>INDEX(Inputs!$D$80:$F$80,1,Inputs!$E$17)+BC21*INDEX(Inputs!$D$81:$F$81,1,Inputs!$E$17)</f>
        <v/>
      </c>
      <c r="BD22" s="24">
        <f>INDEX(Inputs!$D$80:$F$80,1,Inputs!$E$17)+BD21*INDEX(Inputs!$D$81:$F$81,1,Inputs!$E$17)</f>
        <v/>
      </c>
      <c r="BE22" s="24">
        <f>INDEX(Inputs!$D$80:$F$80,1,Inputs!$E$17)+BE21*INDEX(Inputs!$D$81:$F$81,1,Inputs!$E$17)</f>
        <v/>
      </c>
      <c r="BF22" s="24">
        <f>INDEX(Inputs!$D$80:$F$80,1,Inputs!$E$17)+BF21*INDEX(Inputs!$D$81:$F$81,1,Inputs!$E$17)</f>
        <v/>
      </c>
      <c r="BG22" s="24">
        <f>INDEX(Inputs!$D$80:$F$80,1,Inputs!$E$17)+BG21*INDEX(Inputs!$D$81:$F$81,1,Inputs!$E$17)</f>
        <v/>
      </c>
      <c r="BH22" s="24">
        <f>INDEX(Inputs!$D$80:$F$80,1,Inputs!$E$17)+BH21*INDEX(Inputs!$D$81:$F$81,1,Inputs!$E$17)</f>
        <v/>
      </c>
      <c r="BI22" s="24">
        <f>INDEX(Inputs!$D$80:$F$80,1,Inputs!$E$17)+BI21*INDEX(Inputs!$D$81:$F$81,1,Inputs!$E$17)</f>
        <v/>
      </c>
      <c r="BJ22" s="24">
        <f>INDEX(Inputs!$D$80:$F$80,1,Inputs!$E$17)+BJ21*INDEX(Inputs!$D$81:$F$81,1,Inputs!$E$17)</f>
        <v/>
      </c>
    </row>
    <row r="23">
      <c r="A23" t="inlineStr">
        <is>
          <t>Labour</t>
        </is>
      </c>
      <c r="C23" s="3">
        <f>(C22*INDEX(Inputs!$D$82:$F$82,1,Inputs!$E$17)+INDEX(Inputs!$D$83:$F$83,1,Inputs!$E$17))*(1+Inputs!$E$75)^(C4-1)*(1+Inputs!$E$71)+C22*Inputs!$E$72</f>
        <v/>
      </c>
      <c r="D23" s="3">
        <f>(D22*INDEX(Inputs!$D$82:$F$82,1,Inputs!$E$17)+INDEX(Inputs!$D$83:$F$83,1,Inputs!$E$17))*(1+Inputs!$E$75)^(D4-1)*(1+Inputs!$E$71)+D22*Inputs!$E$72</f>
        <v/>
      </c>
      <c r="E23" s="3">
        <f>(E22*INDEX(Inputs!$D$82:$F$82,1,Inputs!$E$17)+INDEX(Inputs!$D$83:$F$83,1,Inputs!$E$17))*(1+Inputs!$E$75)^(E4-1)*(1+Inputs!$E$71)+E22*Inputs!$E$72</f>
        <v/>
      </c>
      <c r="F23" s="3">
        <f>(F22*INDEX(Inputs!$D$82:$F$82,1,Inputs!$E$17)+INDEX(Inputs!$D$83:$F$83,1,Inputs!$E$17))*(1+Inputs!$E$75)^(F4-1)*(1+Inputs!$E$71)+F22*Inputs!$E$72</f>
        <v/>
      </c>
      <c r="G23" s="3">
        <f>(G22*INDEX(Inputs!$D$82:$F$82,1,Inputs!$E$17)+INDEX(Inputs!$D$83:$F$83,1,Inputs!$E$17))*(1+Inputs!$E$75)^(G4-1)*(1+Inputs!$E$71)+G22*Inputs!$E$72</f>
        <v/>
      </c>
      <c r="H23" s="3">
        <f>(H22*INDEX(Inputs!$D$82:$F$82,1,Inputs!$E$17)+INDEX(Inputs!$D$83:$F$83,1,Inputs!$E$17))*(1+Inputs!$E$75)^(H4-1)*(1+Inputs!$E$71)+H22*Inputs!$E$72</f>
        <v/>
      </c>
      <c r="I23" s="3">
        <f>(I22*INDEX(Inputs!$D$82:$F$82,1,Inputs!$E$17)+INDEX(Inputs!$D$83:$F$83,1,Inputs!$E$17))*(1+Inputs!$E$75)^(I4-1)*(1+Inputs!$E$71)+I22*Inputs!$E$72</f>
        <v/>
      </c>
      <c r="J23" s="3">
        <f>(J22*INDEX(Inputs!$D$82:$F$82,1,Inputs!$E$17)+INDEX(Inputs!$D$83:$F$83,1,Inputs!$E$17))*(1+Inputs!$E$75)^(J4-1)*(1+Inputs!$E$71)+J22*Inputs!$E$72</f>
        <v/>
      </c>
      <c r="K23" s="3">
        <f>(K22*INDEX(Inputs!$D$82:$F$82,1,Inputs!$E$17)+INDEX(Inputs!$D$83:$F$83,1,Inputs!$E$17))*(1+Inputs!$E$75)^(K4-1)*(1+Inputs!$E$71)+K22*Inputs!$E$72</f>
        <v/>
      </c>
      <c r="L23" s="3">
        <f>(L22*INDEX(Inputs!$D$82:$F$82,1,Inputs!$E$17)+INDEX(Inputs!$D$83:$F$83,1,Inputs!$E$17))*(1+Inputs!$E$75)^(L4-1)*(1+Inputs!$E$71)+L22*Inputs!$E$72</f>
        <v/>
      </c>
      <c r="M23" s="3">
        <f>(M22*INDEX(Inputs!$D$82:$F$82,1,Inputs!$E$17)+INDEX(Inputs!$D$83:$F$83,1,Inputs!$E$17))*(1+Inputs!$E$75)^(M4-1)*(1+Inputs!$E$71)+M22*Inputs!$E$72</f>
        <v/>
      </c>
      <c r="N23" s="3">
        <f>(N22*INDEX(Inputs!$D$82:$F$82,1,Inputs!$E$17)+INDEX(Inputs!$D$83:$F$83,1,Inputs!$E$17))*(1+Inputs!$E$75)^(N4-1)*(1+Inputs!$E$71)+N22*Inputs!$E$72</f>
        <v/>
      </c>
      <c r="O23" s="3">
        <f>(O22*INDEX(Inputs!$D$82:$F$82,1,Inputs!$E$17)+INDEX(Inputs!$D$83:$F$83,1,Inputs!$E$17))*(1+Inputs!$E$75)^(O4-1)*(1+Inputs!$E$71)+O22*Inputs!$E$72</f>
        <v/>
      </c>
      <c r="P23" s="3">
        <f>(P22*INDEX(Inputs!$D$82:$F$82,1,Inputs!$E$17)+INDEX(Inputs!$D$83:$F$83,1,Inputs!$E$17))*(1+Inputs!$E$75)^(P4-1)*(1+Inputs!$E$71)+P22*Inputs!$E$72</f>
        <v/>
      </c>
      <c r="Q23" s="3">
        <f>(Q22*INDEX(Inputs!$D$82:$F$82,1,Inputs!$E$17)+INDEX(Inputs!$D$83:$F$83,1,Inputs!$E$17))*(1+Inputs!$E$75)^(Q4-1)*(1+Inputs!$E$71)+Q22*Inputs!$E$72</f>
        <v/>
      </c>
      <c r="R23" s="3">
        <f>(R22*INDEX(Inputs!$D$82:$F$82,1,Inputs!$E$17)+INDEX(Inputs!$D$83:$F$83,1,Inputs!$E$17))*(1+Inputs!$E$75)^(R4-1)*(1+Inputs!$E$71)+R22*Inputs!$E$72</f>
        <v/>
      </c>
      <c r="S23" s="3">
        <f>(S22*INDEX(Inputs!$D$82:$F$82,1,Inputs!$E$17)+INDEX(Inputs!$D$83:$F$83,1,Inputs!$E$17))*(1+Inputs!$E$75)^(S4-1)*(1+Inputs!$E$71)+S22*Inputs!$E$72</f>
        <v/>
      </c>
      <c r="T23" s="3">
        <f>(T22*INDEX(Inputs!$D$82:$F$82,1,Inputs!$E$17)+INDEX(Inputs!$D$83:$F$83,1,Inputs!$E$17))*(1+Inputs!$E$75)^(T4-1)*(1+Inputs!$E$71)+T22*Inputs!$E$72</f>
        <v/>
      </c>
      <c r="U23" s="3">
        <f>(U22*INDEX(Inputs!$D$82:$F$82,1,Inputs!$E$17)+INDEX(Inputs!$D$83:$F$83,1,Inputs!$E$17))*(1+Inputs!$E$75)^(U4-1)*(1+Inputs!$E$71)+U22*Inputs!$E$72</f>
        <v/>
      </c>
      <c r="V23" s="3">
        <f>(V22*INDEX(Inputs!$D$82:$F$82,1,Inputs!$E$17)+INDEX(Inputs!$D$83:$F$83,1,Inputs!$E$17))*(1+Inputs!$E$75)^(V4-1)*(1+Inputs!$E$71)+V22*Inputs!$E$72</f>
        <v/>
      </c>
      <c r="W23" s="3">
        <f>(W22*INDEX(Inputs!$D$82:$F$82,1,Inputs!$E$17)+INDEX(Inputs!$D$83:$F$83,1,Inputs!$E$17))*(1+Inputs!$E$75)^(W4-1)*(1+Inputs!$E$71)+W22*Inputs!$E$72</f>
        <v/>
      </c>
      <c r="X23" s="3">
        <f>(X22*INDEX(Inputs!$D$82:$F$82,1,Inputs!$E$17)+INDEX(Inputs!$D$83:$F$83,1,Inputs!$E$17))*(1+Inputs!$E$75)^(X4-1)*(1+Inputs!$E$71)+X22*Inputs!$E$72</f>
        <v/>
      </c>
      <c r="Y23" s="3">
        <f>(Y22*INDEX(Inputs!$D$82:$F$82,1,Inputs!$E$17)+INDEX(Inputs!$D$83:$F$83,1,Inputs!$E$17))*(1+Inputs!$E$75)^(Y4-1)*(1+Inputs!$E$71)+Y22*Inputs!$E$72</f>
        <v/>
      </c>
      <c r="Z23" s="3">
        <f>(Z22*INDEX(Inputs!$D$82:$F$82,1,Inputs!$E$17)+INDEX(Inputs!$D$83:$F$83,1,Inputs!$E$17))*(1+Inputs!$E$75)^(Z4-1)*(1+Inputs!$E$71)+Z22*Inputs!$E$72</f>
        <v/>
      </c>
      <c r="AA23" s="3">
        <f>(AA22*INDEX(Inputs!$D$82:$F$82,1,Inputs!$E$17)+INDEX(Inputs!$D$83:$F$83,1,Inputs!$E$17))*(1+Inputs!$E$75)^(AA4-1)*(1+Inputs!$E$71)+AA22*Inputs!$E$72</f>
        <v/>
      </c>
      <c r="AB23" s="3">
        <f>(AB22*INDEX(Inputs!$D$82:$F$82,1,Inputs!$E$17)+INDEX(Inputs!$D$83:$F$83,1,Inputs!$E$17))*(1+Inputs!$E$75)^(AB4-1)*(1+Inputs!$E$71)+AB22*Inputs!$E$72</f>
        <v/>
      </c>
      <c r="AC23" s="3">
        <f>(AC22*INDEX(Inputs!$D$82:$F$82,1,Inputs!$E$17)+INDEX(Inputs!$D$83:$F$83,1,Inputs!$E$17))*(1+Inputs!$E$75)^(AC4-1)*(1+Inputs!$E$71)+AC22*Inputs!$E$72</f>
        <v/>
      </c>
      <c r="AD23" s="3">
        <f>(AD22*INDEX(Inputs!$D$82:$F$82,1,Inputs!$E$17)+INDEX(Inputs!$D$83:$F$83,1,Inputs!$E$17))*(1+Inputs!$E$75)^(AD4-1)*(1+Inputs!$E$71)+AD22*Inputs!$E$72</f>
        <v/>
      </c>
      <c r="AE23" s="3">
        <f>(AE22*INDEX(Inputs!$D$82:$F$82,1,Inputs!$E$17)+INDEX(Inputs!$D$83:$F$83,1,Inputs!$E$17))*(1+Inputs!$E$75)^(AE4-1)*(1+Inputs!$E$71)+AE22*Inputs!$E$72</f>
        <v/>
      </c>
      <c r="AF23" s="3">
        <f>(AF22*INDEX(Inputs!$D$82:$F$82,1,Inputs!$E$17)+INDEX(Inputs!$D$83:$F$83,1,Inputs!$E$17))*(1+Inputs!$E$75)^(AF4-1)*(1+Inputs!$E$71)+AF22*Inputs!$E$72</f>
        <v/>
      </c>
      <c r="AG23" s="3">
        <f>(AG22*INDEX(Inputs!$D$82:$F$82,1,Inputs!$E$17)+INDEX(Inputs!$D$83:$F$83,1,Inputs!$E$17))*(1+Inputs!$E$75)^(AG4-1)*(1+Inputs!$E$71)+AG22*Inputs!$E$72</f>
        <v/>
      </c>
      <c r="AH23" s="3">
        <f>(AH22*INDEX(Inputs!$D$82:$F$82,1,Inputs!$E$17)+INDEX(Inputs!$D$83:$F$83,1,Inputs!$E$17))*(1+Inputs!$E$75)^(AH4-1)*(1+Inputs!$E$71)+AH22*Inputs!$E$72</f>
        <v/>
      </c>
      <c r="AI23" s="3">
        <f>(AI22*INDEX(Inputs!$D$82:$F$82,1,Inputs!$E$17)+INDEX(Inputs!$D$83:$F$83,1,Inputs!$E$17))*(1+Inputs!$E$75)^(AI4-1)*(1+Inputs!$E$71)+AI22*Inputs!$E$72</f>
        <v/>
      </c>
      <c r="AJ23" s="3">
        <f>(AJ22*INDEX(Inputs!$D$82:$F$82,1,Inputs!$E$17)+INDEX(Inputs!$D$83:$F$83,1,Inputs!$E$17))*(1+Inputs!$E$75)^(AJ4-1)*(1+Inputs!$E$71)+AJ22*Inputs!$E$72</f>
        <v/>
      </c>
      <c r="AK23" s="3">
        <f>(AK22*INDEX(Inputs!$D$82:$F$82,1,Inputs!$E$17)+INDEX(Inputs!$D$83:$F$83,1,Inputs!$E$17))*(1+Inputs!$E$75)^(AK4-1)*(1+Inputs!$E$71)+AK22*Inputs!$E$72</f>
        <v/>
      </c>
      <c r="AL23" s="3">
        <f>(AL22*INDEX(Inputs!$D$82:$F$82,1,Inputs!$E$17)+INDEX(Inputs!$D$83:$F$83,1,Inputs!$E$17))*(1+Inputs!$E$75)^(AL4-1)*(1+Inputs!$E$71)+AL22*Inputs!$E$72</f>
        <v/>
      </c>
      <c r="AM23" s="3">
        <f>(AM22*INDEX(Inputs!$D$82:$F$82,1,Inputs!$E$17)+INDEX(Inputs!$D$83:$F$83,1,Inputs!$E$17))*(1+Inputs!$E$75)^(AM4-1)*(1+Inputs!$E$71)+AM22*Inputs!$E$72</f>
        <v/>
      </c>
      <c r="AN23" s="3">
        <f>(AN22*INDEX(Inputs!$D$82:$F$82,1,Inputs!$E$17)+INDEX(Inputs!$D$83:$F$83,1,Inputs!$E$17))*(1+Inputs!$E$75)^(AN4-1)*(1+Inputs!$E$71)+AN22*Inputs!$E$72</f>
        <v/>
      </c>
      <c r="AO23" s="3">
        <f>(AO22*INDEX(Inputs!$D$82:$F$82,1,Inputs!$E$17)+INDEX(Inputs!$D$83:$F$83,1,Inputs!$E$17))*(1+Inputs!$E$75)^(AO4-1)*(1+Inputs!$E$71)+AO22*Inputs!$E$72</f>
        <v/>
      </c>
      <c r="AP23" s="3">
        <f>(AP22*INDEX(Inputs!$D$82:$F$82,1,Inputs!$E$17)+INDEX(Inputs!$D$83:$F$83,1,Inputs!$E$17))*(1+Inputs!$E$75)^(AP4-1)*(1+Inputs!$E$71)+AP22*Inputs!$E$72</f>
        <v/>
      </c>
      <c r="AQ23" s="3">
        <f>(AQ22*INDEX(Inputs!$D$82:$F$82,1,Inputs!$E$17)+INDEX(Inputs!$D$83:$F$83,1,Inputs!$E$17))*(1+Inputs!$E$75)^(AQ4-1)*(1+Inputs!$E$71)+AQ22*Inputs!$E$72</f>
        <v/>
      </c>
      <c r="AR23" s="3">
        <f>(AR22*INDEX(Inputs!$D$82:$F$82,1,Inputs!$E$17)+INDEX(Inputs!$D$83:$F$83,1,Inputs!$E$17))*(1+Inputs!$E$75)^(AR4-1)*(1+Inputs!$E$71)+AR22*Inputs!$E$72</f>
        <v/>
      </c>
      <c r="AS23" s="3">
        <f>(AS22*INDEX(Inputs!$D$82:$F$82,1,Inputs!$E$17)+INDEX(Inputs!$D$83:$F$83,1,Inputs!$E$17))*(1+Inputs!$E$75)^(AS4-1)*(1+Inputs!$E$71)+AS22*Inputs!$E$72</f>
        <v/>
      </c>
      <c r="AT23" s="3">
        <f>(AT22*INDEX(Inputs!$D$82:$F$82,1,Inputs!$E$17)+INDEX(Inputs!$D$83:$F$83,1,Inputs!$E$17))*(1+Inputs!$E$75)^(AT4-1)*(1+Inputs!$E$71)+AT22*Inputs!$E$72</f>
        <v/>
      </c>
      <c r="AU23" s="3">
        <f>(AU22*INDEX(Inputs!$D$82:$F$82,1,Inputs!$E$17)+INDEX(Inputs!$D$83:$F$83,1,Inputs!$E$17))*(1+Inputs!$E$75)^(AU4-1)*(1+Inputs!$E$71)+AU22*Inputs!$E$72</f>
        <v/>
      </c>
      <c r="AV23" s="3">
        <f>(AV22*INDEX(Inputs!$D$82:$F$82,1,Inputs!$E$17)+INDEX(Inputs!$D$83:$F$83,1,Inputs!$E$17))*(1+Inputs!$E$75)^(AV4-1)*(1+Inputs!$E$71)+AV22*Inputs!$E$72</f>
        <v/>
      </c>
      <c r="AW23" s="3">
        <f>(AW22*INDEX(Inputs!$D$82:$F$82,1,Inputs!$E$17)+INDEX(Inputs!$D$83:$F$83,1,Inputs!$E$17))*(1+Inputs!$E$75)^(AW4-1)*(1+Inputs!$E$71)+AW22*Inputs!$E$72</f>
        <v/>
      </c>
      <c r="AX23" s="3">
        <f>(AX22*INDEX(Inputs!$D$82:$F$82,1,Inputs!$E$17)+INDEX(Inputs!$D$83:$F$83,1,Inputs!$E$17))*(1+Inputs!$E$75)^(AX4-1)*(1+Inputs!$E$71)+AX22*Inputs!$E$72</f>
        <v/>
      </c>
      <c r="AY23" s="3">
        <f>(AY22*INDEX(Inputs!$D$82:$F$82,1,Inputs!$E$17)+INDEX(Inputs!$D$83:$F$83,1,Inputs!$E$17))*(1+Inputs!$E$75)^(AY4-1)*(1+Inputs!$E$71)+AY22*Inputs!$E$72</f>
        <v/>
      </c>
      <c r="AZ23" s="3">
        <f>(AZ22*INDEX(Inputs!$D$82:$F$82,1,Inputs!$E$17)+INDEX(Inputs!$D$83:$F$83,1,Inputs!$E$17))*(1+Inputs!$E$75)^(AZ4-1)*(1+Inputs!$E$71)+AZ22*Inputs!$E$72</f>
        <v/>
      </c>
      <c r="BA23" s="3">
        <f>(BA22*INDEX(Inputs!$D$82:$F$82,1,Inputs!$E$17)+INDEX(Inputs!$D$83:$F$83,1,Inputs!$E$17))*(1+Inputs!$E$75)^(BA4-1)*(1+Inputs!$E$71)+BA22*Inputs!$E$72</f>
        <v/>
      </c>
      <c r="BB23" s="3">
        <f>(BB22*INDEX(Inputs!$D$82:$F$82,1,Inputs!$E$17)+INDEX(Inputs!$D$83:$F$83,1,Inputs!$E$17))*(1+Inputs!$E$75)^(BB4-1)*(1+Inputs!$E$71)+BB22*Inputs!$E$72</f>
        <v/>
      </c>
      <c r="BC23" s="3">
        <f>(BC22*INDEX(Inputs!$D$82:$F$82,1,Inputs!$E$17)+INDEX(Inputs!$D$83:$F$83,1,Inputs!$E$17))*(1+Inputs!$E$75)^(BC4-1)*(1+Inputs!$E$71)+BC22*Inputs!$E$72</f>
        <v/>
      </c>
      <c r="BD23" s="3">
        <f>(BD22*INDEX(Inputs!$D$82:$F$82,1,Inputs!$E$17)+INDEX(Inputs!$D$83:$F$83,1,Inputs!$E$17))*(1+Inputs!$E$75)^(BD4-1)*(1+Inputs!$E$71)+BD22*Inputs!$E$72</f>
        <v/>
      </c>
      <c r="BE23" s="3">
        <f>(BE22*INDEX(Inputs!$D$82:$F$82,1,Inputs!$E$17)+INDEX(Inputs!$D$83:$F$83,1,Inputs!$E$17))*(1+Inputs!$E$75)^(BE4-1)*(1+Inputs!$E$71)+BE22*Inputs!$E$72</f>
        <v/>
      </c>
      <c r="BF23" s="3">
        <f>(BF22*INDEX(Inputs!$D$82:$F$82,1,Inputs!$E$17)+INDEX(Inputs!$D$83:$F$83,1,Inputs!$E$17))*(1+Inputs!$E$75)^(BF4-1)*(1+Inputs!$E$71)+BF22*Inputs!$E$72</f>
        <v/>
      </c>
      <c r="BG23" s="3">
        <f>(BG22*INDEX(Inputs!$D$82:$F$82,1,Inputs!$E$17)+INDEX(Inputs!$D$83:$F$83,1,Inputs!$E$17))*(1+Inputs!$E$75)^(BG4-1)*(1+Inputs!$E$71)+BG22*Inputs!$E$72</f>
        <v/>
      </c>
      <c r="BH23" s="3">
        <f>(BH22*INDEX(Inputs!$D$82:$F$82,1,Inputs!$E$17)+INDEX(Inputs!$D$83:$F$83,1,Inputs!$E$17))*(1+Inputs!$E$75)^(BH4-1)*(1+Inputs!$E$71)+BH22*Inputs!$E$72</f>
        <v/>
      </c>
      <c r="BI23" s="3">
        <f>(BI22*INDEX(Inputs!$D$82:$F$82,1,Inputs!$E$17)+INDEX(Inputs!$D$83:$F$83,1,Inputs!$E$17))*(1+Inputs!$E$75)^(BI4-1)*(1+Inputs!$E$71)+BI22*Inputs!$E$72</f>
        <v/>
      </c>
      <c r="BJ23" s="3">
        <f>(BJ22*INDEX(Inputs!$D$82:$F$82,1,Inputs!$E$17)+INDEX(Inputs!$D$83:$F$83,1,Inputs!$E$17))*(1+Inputs!$E$75)^(BJ4-1)*(1+Inputs!$E$71)+BJ22*Inputs!$E$72</f>
        <v/>
      </c>
    </row>
    <row r="24">
      <c r="A24" t="inlineStr">
        <is>
          <t>Ground rent</t>
        </is>
      </c>
      <c r="C24" s="3">
        <f>Inputs!$E$18*Inputs!$E$69*(1+Inputs!$E$74)^(C4-1)</f>
        <v/>
      </c>
      <c r="D24" s="3">
        <f>Inputs!$E$18*Inputs!$E$69*(1+Inputs!$E$74)^(D4-1)</f>
        <v/>
      </c>
      <c r="E24" s="3">
        <f>Inputs!$E$18*Inputs!$E$69*(1+Inputs!$E$74)^(E4-1)</f>
        <v/>
      </c>
      <c r="F24" s="3">
        <f>Inputs!$E$18*Inputs!$E$69*(1+Inputs!$E$74)^(F4-1)</f>
        <v/>
      </c>
      <c r="G24" s="3">
        <f>Inputs!$E$18*Inputs!$E$69*(1+Inputs!$E$74)^(G4-1)</f>
        <v/>
      </c>
      <c r="H24" s="3">
        <f>Inputs!$E$18*Inputs!$E$69*(1+Inputs!$E$74)^(H4-1)</f>
        <v/>
      </c>
      <c r="I24" s="3">
        <f>Inputs!$E$18*Inputs!$E$69*(1+Inputs!$E$74)^(I4-1)</f>
        <v/>
      </c>
      <c r="J24" s="3">
        <f>Inputs!$E$18*Inputs!$E$69*(1+Inputs!$E$74)^(J4-1)</f>
        <v/>
      </c>
      <c r="K24" s="3">
        <f>Inputs!$E$18*Inputs!$E$69*(1+Inputs!$E$74)^(K4-1)</f>
        <v/>
      </c>
      <c r="L24" s="3">
        <f>Inputs!$E$18*Inputs!$E$69*(1+Inputs!$E$74)^(L4-1)</f>
        <v/>
      </c>
      <c r="M24" s="3">
        <f>Inputs!$E$18*Inputs!$E$69*(1+Inputs!$E$74)^(M4-1)</f>
        <v/>
      </c>
      <c r="N24" s="3">
        <f>Inputs!$E$18*Inputs!$E$69*(1+Inputs!$E$74)^(N4-1)</f>
        <v/>
      </c>
      <c r="O24" s="3">
        <f>Inputs!$E$18*Inputs!$E$69*(1+Inputs!$E$74)^(O4-1)</f>
        <v/>
      </c>
      <c r="P24" s="3">
        <f>Inputs!$E$18*Inputs!$E$69*(1+Inputs!$E$74)^(P4-1)</f>
        <v/>
      </c>
      <c r="Q24" s="3">
        <f>Inputs!$E$18*Inputs!$E$69*(1+Inputs!$E$74)^(Q4-1)</f>
        <v/>
      </c>
      <c r="R24" s="3">
        <f>Inputs!$E$18*Inputs!$E$69*(1+Inputs!$E$74)^(R4-1)</f>
        <v/>
      </c>
      <c r="S24" s="3">
        <f>Inputs!$E$18*Inputs!$E$69*(1+Inputs!$E$74)^(S4-1)</f>
        <v/>
      </c>
      <c r="T24" s="3">
        <f>Inputs!$E$18*Inputs!$E$69*(1+Inputs!$E$74)^(T4-1)</f>
        <v/>
      </c>
      <c r="U24" s="3">
        <f>Inputs!$E$18*Inputs!$E$69*(1+Inputs!$E$74)^(U4-1)</f>
        <v/>
      </c>
      <c r="V24" s="3">
        <f>Inputs!$E$18*Inputs!$E$69*(1+Inputs!$E$74)^(V4-1)</f>
        <v/>
      </c>
      <c r="W24" s="3">
        <f>Inputs!$E$18*Inputs!$E$69*(1+Inputs!$E$74)^(W4-1)</f>
        <v/>
      </c>
      <c r="X24" s="3">
        <f>Inputs!$E$18*Inputs!$E$69*(1+Inputs!$E$74)^(X4-1)</f>
        <v/>
      </c>
      <c r="Y24" s="3">
        <f>Inputs!$E$18*Inputs!$E$69*(1+Inputs!$E$74)^(Y4-1)</f>
        <v/>
      </c>
      <c r="Z24" s="3">
        <f>Inputs!$E$18*Inputs!$E$69*(1+Inputs!$E$74)^(Z4-1)</f>
        <v/>
      </c>
      <c r="AA24" s="3">
        <f>Inputs!$E$18*Inputs!$E$69*(1+Inputs!$E$74)^(AA4-1)</f>
        <v/>
      </c>
      <c r="AB24" s="3">
        <f>Inputs!$E$18*Inputs!$E$69*(1+Inputs!$E$74)^(AB4-1)</f>
        <v/>
      </c>
      <c r="AC24" s="3">
        <f>Inputs!$E$18*Inputs!$E$69*(1+Inputs!$E$74)^(AC4-1)</f>
        <v/>
      </c>
      <c r="AD24" s="3">
        <f>Inputs!$E$18*Inputs!$E$69*(1+Inputs!$E$74)^(AD4-1)</f>
        <v/>
      </c>
      <c r="AE24" s="3">
        <f>Inputs!$E$18*Inputs!$E$69*(1+Inputs!$E$74)^(AE4-1)</f>
        <v/>
      </c>
      <c r="AF24" s="3">
        <f>Inputs!$E$18*Inputs!$E$69*(1+Inputs!$E$74)^(AF4-1)</f>
        <v/>
      </c>
      <c r="AG24" s="3">
        <f>Inputs!$E$18*Inputs!$E$69*(1+Inputs!$E$74)^(AG4-1)</f>
        <v/>
      </c>
      <c r="AH24" s="3">
        <f>Inputs!$E$18*Inputs!$E$69*(1+Inputs!$E$74)^(AH4-1)</f>
        <v/>
      </c>
      <c r="AI24" s="3">
        <f>Inputs!$E$18*Inputs!$E$69*(1+Inputs!$E$74)^(AI4-1)</f>
        <v/>
      </c>
      <c r="AJ24" s="3">
        <f>Inputs!$E$18*Inputs!$E$69*(1+Inputs!$E$74)^(AJ4-1)</f>
        <v/>
      </c>
      <c r="AK24" s="3">
        <f>Inputs!$E$18*Inputs!$E$69*(1+Inputs!$E$74)^(AK4-1)</f>
        <v/>
      </c>
      <c r="AL24" s="3">
        <f>Inputs!$E$18*Inputs!$E$69*(1+Inputs!$E$74)^(AL4-1)</f>
        <v/>
      </c>
      <c r="AM24" s="3">
        <f>Inputs!$E$18*Inputs!$E$69*(1+Inputs!$E$74)^(AM4-1)</f>
        <v/>
      </c>
      <c r="AN24" s="3">
        <f>Inputs!$E$18*Inputs!$E$69*(1+Inputs!$E$74)^(AN4-1)</f>
        <v/>
      </c>
      <c r="AO24" s="3">
        <f>Inputs!$E$18*Inputs!$E$69*(1+Inputs!$E$74)^(AO4-1)</f>
        <v/>
      </c>
      <c r="AP24" s="3">
        <f>Inputs!$E$18*Inputs!$E$69*(1+Inputs!$E$74)^(AP4-1)</f>
        <v/>
      </c>
      <c r="AQ24" s="3">
        <f>Inputs!$E$18*Inputs!$E$69*(1+Inputs!$E$74)^(AQ4-1)</f>
        <v/>
      </c>
      <c r="AR24" s="3">
        <f>Inputs!$E$18*Inputs!$E$69*(1+Inputs!$E$74)^(AR4-1)</f>
        <v/>
      </c>
      <c r="AS24" s="3">
        <f>Inputs!$E$18*Inputs!$E$69*(1+Inputs!$E$74)^(AS4-1)</f>
        <v/>
      </c>
      <c r="AT24" s="3">
        <f>Inputs!$E$18*Inputs!$E$69*(1+Inputs!$E$74)^(AT4-1)</f>
        <v/>
      </c>
      <c r="AU24" s="3">
        <f>Inputs!$E$18*Inputs!$E$69*(1+Inputs!$E$74)^(AU4-1)</f>
        <v/>
      </c>
      <c r="AV24" s="3">
        <f>Inputs!$E$18*Inputs!$E$69*(1+Inputs!$E$74)^(AV4-1)</f>
        <v/>
      </c>
      <c r="AW24" s="3">
        <f>Inputs!$E$18*Inputs!$E$69*(1+Inputs!$E$74)^(AW4-1)</f>
        <v/>
      </c>
      <c r="AX24" s="3">
        <f>Inputs!$E$18*Inputs!$E$69*(1+Inputs!$E$74)^(AX4-1)</f>
        <v/>
      </c>
      <c r="AY24" s="3">
        <f>Inputs!$E$18*Inputs!$E$69*(1+Inputs!$E$74)^(AY4-1)</f>
        <v/>
      </c>
      <c r="AZ24" s="3">
        <f>Inputs!$E$18*Inputs!$E$69*(1+Inputs!$E$74)^(AZ4-1)</f>
        <v/>
      </c>
      <c r="BA24" s="3">
        <f>Inputs!$E$18*Inputs!$E$69*(1+Inputs!$E$74)^(BA4-1)</f>
        <v/>
      </c>
      <c r="BB24" s="3">
        <f>Inputs!$E$18*Inputs!$E$69*(1+Inputs!$E$74)^(BB4-1)</f>
        <v/>
      </c>
      <c r="BC24" s="3">
        <f>Inputs!$E$18*Inputs!$E$69*(1+Inputs!$E$74)^(BC4-1)</f>
        <v/>
      </c>
      <c r="BD24" s="3">
        <f>Inputs!$E$18*Inputs!$E$69*(1+Inputs!$E$74)^(BD4-1)</f>
        <v/>
      </c>
      <c r="BE24" s="3">
        <f>Inputs!$E$18*Inputs!$E$69*(1+Inputs!$E$74)^(BE4-1)</f>
        <v/>
      </c>
      <c r="BF24" s="3">
        <f>Inputs!$E$18*Inputs!$E$69*(1+Inputs!$E$74)^(BF4-1)</f>
        <v/>
      </c>
      <c r="BG24" s="3">
        <f>Inputs!$E$18*Inputs!$E$69*(1+Inputs!$E$74)^(BG4-1)</f>
        <v/>
      </c>
      <c r="BH24" s="3">
        <f>Inputs!$E$18*Inputs!$E$69*(1+Inputs!$E$74)^(BH4-1)</f>
        <v/>
      </c>
      <c r="BI24" s="3">
        <f>Inputs!$E$18*Inputs!$E$69*(1+Inputs!$E$74)^(BI4-1)</f>
        <v/>
      </c>
      <c r="BJ24" s="3">
        <f>Inputs!$E$18*Inputs!$E$69*(1+Inputs!$E$74)^(BJ4-1)</f>
        <v/>
      </c>
    </row>
    <row r="25">
      <c r="A25" t="inlineStr">
        <is>
          <t>Other fixed + land tax</t>
        </is>
      </c>
      <c r="C25" s="3">
        <f>Inputs!$E$68*(1+Inputs!$E$74)^(C4-1)+Inputs!$E$70/12</f>
        <v/>
      </c>
      <c r="D25" s="3">
        <f>Inputs!$E$68*(1+Inputs!$E$74)^(D4-1)+Inputs!$E$70/12</f>
        <v/>
      </c>
      <c r="E25" s="3">
        <f>Inputs!$E$68*(1+Inputs!$E$74)^(E4-1)+Inputs!$E$70/12</f>
        <v/>
      </c>
      <c r="F25" s="3">
        <f>Inputs!$E$68*(1+Inputs!$E$74)^(F4-1)+Inputs!$E$70/12</f>
        <v/>
      </c>
      <c r="G25" s="3">
        <f>Inputs!$E$68*(1+Inputs!$E$74)^(G4-1)+Inputs!$E$70/12</f>
        <v/>
      </c>
      <c r="H25" s="3">
        <f>Inputs!$E$68*(1+Inputs!$E$74)^(H4-1)+Inputs!$E$70/12</f>
        <v/>
      </c>
      <c r="I25" s="3">
        <f>Inputs!$E$68*(1+Inputs!$E$74)^(I4-1)+Inputs!$E$70/12</f>
        <v/>
      </c>
      <c r="J25" s="3">
        <f>Inputs!$E$68*(1+Inputs!$E$74)^(J4-1)+Inputs!$E$70/12</f>
        <v/>
      </c>
      <c r="K25" s="3">
        <f>Inputs!$E$68*(1+Inputs!$E$74)^(K4-1)+Inputs!$E$70/12</f>
        <v/>
      </c>
      <c r="L25" s="3">
        <f>Inputs!$E$68*(1+Inputs!$E$74)^(L4-1)+Inputs!$E$70/12</f>
        <v/>
      </c>
      <c r="M25" s="3">
        <f>Inputs!$E$68*(1+Inputs!$E$74)^(M4-1)+Inputs!$E$70/12</f>
        <v/>
      </c>
      <c r="N25" s="3">
        <f>Inputs!$E$68*(1+Inputs!$E$74)^(N4-1)+Inputs!$E$70/12</f>
        <v/>
      </c>
      <c r="O25" s="3">
        <f>Inputs!$E$68*(1+Inputs!$E$74)^(O4-1)+Inputs!$E$70/12</f>
        <v/>
      </c>
      <c r="P25" s="3">
        <f>Inputs!$E$68*(1+Inputs!$E$74)^(P4-1)+Inputs!$E$70/12</f>
        <v/>
      </c>
      <c r="Q25" s="3">
        <f>Inputs!$E$68*(1+Inputs!$E$74)^(Q4-1)+Inputs!$E$70/12</f>
        <v/>
      </c>
      <c r="R25" s="3">
        <f>Inputs!$E$68*(1+Inputs!$E$74)^(R4-1)+Inputs!$E$70/12</f>
        <v/>
      </c>
      <c r="S25" s="3">
        <f>Inputs!$E$68*(1+Inputs!$E$74)^(S4-1)+Inputs!$E$70/12</f>
        <v/>
      </c>
      <c r="T25" s="3">
        <f>Inputs!$E$68*(1+Inputs!$E$74)^(T4-1)+Inputs!$E$70/12</f>
        <v/>
      </c>
      <c r="U25" s="3">
        <f>Inputs!$E$68*(1+Inputs!$E$74)^(U4-1)+Inputs!$E$70/12</f>
        <v/>
      </c>
      <c r="V25" s="3">
        <f>Inputs!$E$68*(1+Inputs!$E$74)^(V4-1)+Inputs!$E$70/12</f>
        <v/>
      </c>
      <c r="W25" s="3">
        <f>Inputs!$E$68*(1+Inputs!$E$74)^(W4-1)+Inputs!$E$70/12</f>
        <v/>
      </c>
      <c r="X25" s="3">
        <f>Inputs!$E$68*(1+Inputs!$E$74)^(X4-1)+Inputs!$E$70/12</f>
        <v/>
      </c>
      <c r="Y25" s="3">
        <f>Inputs!$E$68*(1+Inputs!$E$74)^(Y4-1)+Inputs!$E$70/12</f>
        <v/>
      </c>
      <c r="Z25" s="3">
        <f>Inputs!$E$68*(1+Inputs!$E$74)^(Z4-1)+Inputs!$E$70/12</f>
        <v/>
      </c>
      <c r="AA25" s="3">
        <f>Inputs!$E$68*(1+Inputs!$E$74)^(AA4-1)+Inputs!$E$70/12</f>
        <v/>
      </c>
      <c r="AB25" s="3">
        <f>Inputs!$E$68*(1+Inputs!$E$74)^(AB4-1)+Inputs!$E$70/12</f>
        <v/>
      </c>
      <c r="AC25" s="3">
        <f>Inputs!$E$68*(1+Inputs!$E$74)^(AC4-1)+Inputs!$E$70/12</f>
        <v/>
      </c>
      <c r="AD25" s="3">
        <f>Inputs!$E$68*(1+Inputs!$E$74)^(AD4-1)+Inputs!$E$70/12</f>
        <v/>
      </c>
      <c r="AE25" s="3">
        <f>Inputs!$E$68*(1+Inputs!$E$74)^(AE4-1)+Inputs!$E$70/12</f>
        <v/>
      </c>
      <c r="AF25" s="3">
        <f>Inputs!$E$68*(1+Inputs!$E$74)^(AF4-1)+Inputs!$E$70/12</f>
        <v/>
      </c>
      <c r="AG25" s="3">
        <f>Inputs!$E$68*(1+Inputs!$E$74)^(AG4-1)+Inputs!$E$70/12</f>
        <v/>
      </c>
      <c r="AH25" s="3">
        <f>Inputs!$E$68*(1+Inputs!$E$74)^(AH4-1)+Inputs!$E$70/12</f>
        <v/>
      </c>
      <c r="AI25" s="3">
        <f>Inputs!$E$68*(1+Inputs!$E$74)^(AI4-1)+Inputs!$E$70/12</f>
        <v/>
      </c>
      <c r="AJ25" s="3">
        <f>Inputs!$E$68*(1+Inputs!$E$74)^(AJ4-1)+Inputs!$E$70/12</f>
        <v/>
      </c>
      <c r="AK25" s="3">
        <f>Inputs!$E$68*(1+Inputs!$E$74)^(AK4-1)+Inputs!$E$70/12</f>
        <v/>
      </c>
      <c r="AL25" s="3">
        <f>Inputs!$E$68*(1+Inputs!$E$74)^(AL4-1)+Inputs!$E$70/12</f>
        <v/>
      </c>
      <c r="AM25" s="3">
        <f>Inputs!$E$68*(1+Inputs!$E$74)^(AM4-1)+Inputs!$E$70/12</f>
        <v/>
      </c>
      <c r="AN25" s="3">
        <f>Inputs!$E$68*(1+Inputs!$E$74)^(AN4-1)+Inputs!$E$70/12</f>
        <v/>
      </c>
      <c r="AO25" s="3">
        <f>Inputs!$E$68*(1+Inputs!$E$74)^(AO4-1)+Inputs!$E$70/12</f>
        <v/>
      </c>
      <c r="AP25" s="3">
        <f>Inputs!$E$68*(1+Inputs!$E$74)^(AP4-1)+Inputs!$E$70/12</f>
        <v/>
      </c>
      <c r="AQ25" s="3">
        <f>Inputs!$E$68*(1+Inputs!$E$74)^(AQ4-1)+Inputs!$E$70/12</f>
        <v/>
      </c>
      <c r="AR25" s="3">
        <f>Inputs!$E$68*(1+Inputs!$E$74)^(AR4-1)+Inputs!$E$70/12</f>
        <v/>
      </c>
      <c r="AS25" s="3">
        <f>Inputs!$E$68*(1+Inputs!$E$74)^(AS4-1)+Inputs!$E$70/12</f>
        <v/>
      </c>
      <c r="AT25" s="3">
        <f>Inputs!$E$68*(1+Inputs!$E$74)^(AT4-1)+Inputs!$E$70/12</f>
        <v/>
      </c>
      <c r="AU25" s="3">
        <f>Inputs!$E$68*(1+Inputs!$E$74)^(AU4-1)+Inputs!$E$70/12</f>
        <v/>
      </c>
      <c r="AV25" s="3">
        <f>Inputs!$E$68*(1+Inputs!$E$74)^(AV4-1)+Inputs!$E$70/12</f>
        <v/>
      </c>
      <c r="AW25" s="3">
        <f>Inputs!$E$68*(1+Inputs!$E$74)^(AW4-1)+Inputs!$E$70/12</f>
        <v/>
      </c>
      <c r="AX25" s="3">
        <f>Inputs!$E$68*(1+Inputs!$E$74)^(AX4-1)+Inputs!$E$70/12</f>
        <v/>
      </c>
      <c r="AY25" s="3">
        <f>Inputs!$E$68*(1+Inputs!$E$74)^(AY4-1)+Inputs!$E$70/12</f>
        <v/>
      </c>
      <c r="AZ25" s="3">
        <f>Inputs!$E$68*(1+Inputs!$E$74)^(AZ4-1)+Inputs!$E$70/12</f>
        <v/>
      </c>
      <c r="BA25" s="3">
        <f>Inputs!$E$68*(1+Inputs!$E$74)^(BA4-1)+Inputs!$E$70/12</f>
        <v/>
      </c>
      <c r="BB25" s="3">
        <f>Inputs!$E$68*(1+Inputs!$E$74)^(BB4-1)+Inputs!$E$70/12</f>
        <v/>
      </c>
      <c r="BC25" s="3">
        <f>Inputs!$E$68*(1+Inputs!$E$74)^(BC4-1)+Inputs!$E$70/12</f>
        <v/>
      </c>
      <c r="BD25" s="3">
        <f>Inputs!$E$68*(1+Inputs!$E$74)^(BD4-1)+Inputs!$E$70/12</f>
        <v/>
      </c>
      <c r="BE25" s="3">
        <f>Inputs!$E$68*(1+Inputs!$E$74)^(BE4-1)+Inputs!$E$70/12</f>
        <v/>
      </c>
      <c r="BF25" s="3">
        <f>Inputs!$E$68*(1+Inputs!$E$74)^(BF4-1)+Inputs!$E$70/12</f>
        <v/>
      </c>
      <c r="BG25" s="3">
        <f>Inputs!$E$68*(1+Inputs!$E$74)^(BG4-1)+Inputs!$E$70/12</f>
        <v/>
      </c>
      <c r="BH25" s="3">
        <f>Inputs!$E$68*(1+Inputs!$E$74)^(BH4-1)+Inputs!$E$70/12</f>
        <v/>
      </c>
      <c r="BI25" s="3">
        <f>Inputs!$E$68*(1+Inputs!$E$74)^(BI4-1)+Inputs!$E$70/12</f>
        <v/>
      </c>
      <c r="BJ25" s="3">
        <f>Inputs!$E$68*(1+Inputs!$E$74)^(BJ4-1)+Inputs!$E$70/12</f>
        <v/>
      </c>
    </row>
    <row r="26">
      <c r="A26" s="18" t="inlineStr">
        <is>
          <t>Total operating costs</t>
        </is>
      </c>
      <c r="C26" s="3">
        <f>SUM(C15:C20)+C23+C24+C25</f>
        <v/>
      </c>
      <c r="D26" s="3">
        <f>SUM(D15:D20)+D23+D24+D25</f>
        <v/>
      </c>
      <c r="E26" s="3">
        <f>SUM(E15:E20)+E23+E24+E25</f>
        <v/>
      </c>
      <c r="F26" s="3">
        <f>SUM(F15:F20)+F23+F24+F25</f>
        <v/>
      </c>
      <c r="G26" s="3">
        <f>SUM(G15:G20)+G23+G24+G25</f>
        <v/>
      </c>
      <c r="H26" s="3">
        <f>SUM(H15:H20)+H23+H24+H25</f>
        <v/>
      </c>
      <c r="I26" s="3">
        <f>SUM(I15:I20)+I23+I24+I25</f>
        <v/>
      </c>
      <c r="J26" s="3">
        <f>SUM(J15:J20)+J23+J24+J25</f>
        <v/>
      </c>
      <c r="K26" s="3">
        <f>SUM(K15:K20)+K23+K24+K25</f>
        <v/>
      </c>
      <c r="L26" s="3">
        <f>SUM(L15:L20)+L23+L24+L25</f>
        <v/>
      </c>
      <c r="M26" s="3">
        <f>SUM(M15:M20)+M23+M24+M25</f>
        <v/>
      </c>
      <c r="N26" s="3">
        <f>SUM(N15:N20)+N23+N24+N25</f>
        <v/>
      </c>
      <c r="O26" s="3">
        <f>SUM(O15:O20)+O23+O24+O25</f>
        <v/>
      </c>
      <c r="P26" s="3">
        <f>SUM(P15:P20)+P23+P24+P25</f>
        <v/>
      </c>
      <c r="Q26" s="3">
        <f>SUM(Q15:Q20)+Q23+Q24+Q25</f>
        <v/>
      </c>
      <c r="R26" s="3">
        <f>SUM(R15:R20)+R23+R24+R25</f>
        <v/>
      </c>
      <c r="S26" s="3">
        <f>SUM(S15:S20)+S23+S24+S25</f>
        <v/>
      </c>
      <c r="T26" s="3">
        <f>SUM(T15:T20)+T23+T24+T25</f>
        <v/>
      </c>
      <c r="U26" s="3">
        <f>SUM(U15:U20)+U23+U24+U25</f>
        <v/>
      </c>
      <c r="V26" s="3">
        <f>SUM(V15:V20)+V23+V24+V25</f>
        <v/>
      </c>
      <c r="W26" s="3">
        <f>SUM(W15:W20)+W23+W24+W25</f>
        <v/>
      </c>
      <c r="X26" s="3">
        <f>SUM(X15:X20)+X23+X24+X25</f>
        <v/>
      </c>
      <c r="Y26" s="3">
        <f>SUM(Y15:Y20)+Y23+Y24+Y25</f>
        <v/>
      </c>
      <c r="Z26" s="3">
        <f>SUM(Z15:Z20)+Z23+Z24+Z25</f>
        <v/>
      </c>
      <c r="AA26" s="3">
        <f>SUM(AA15:AA20)+AA23+AA24+AA25</f>
        <v/>
      </c>
      <c r="AB26" s="3">
        <f>SUM(AB15:AB20)+AB23+AB24+AB25</f>
        <v/>
      </c>
      <c r="AC26" s="3">
        <f>SUM(AC15:AC20)+AC23+AC24+AC25</f>
        <v/>
      </c>
      <c r="AD26" s="3">
        <f>SUM(AD15:AD20)+AD23+AD24+AD25</f>
        <v/>
      </c>
      <c r="AE26" s="3">
        <f>SUM(AE15:AE20)+AE23+AE24+AE25</f>
        <v/>
      </c>
      <c r="AF26" s="3">
        <f>SUM(AF15:AF20)+AF23+AF24+AF25</f>
        <v/>
      </c>
      <c r="AG26" s="3">
        <f>SUM(AG15:AG20)+AG23+AG24+AG25</f>
        <v/>
      </c>
      <c r="AH26" s="3">
        <f>SUM(AH15:AH20)+AH23+AH24+AH25</f>
        <v/>
      </c>
      <c r="AI26" s="3">
        <f>SUM(AI15:AI20)+AI23+AI24+AI25</f>
        <v/>
      </c>
      <c r="AJ26" s="3">
        <f>SUM(AJ15:AJ20)+AJ23+AJ24+AJ25</f>
        <v/>
      </c>
      <c r="AK26" s="3">
        <f>SUM(AK15:AK20)+AK23+AK24+AK25</f>
        <v/>
      </c>
      <c r="AL26" s="3">
        <f>SUM(AL15:AL20)+AL23+AL24+AL25</f>
        <v/>
      </c>
      <c r="AM26" s="3">
        <f>SUM(AM15:AM20)+AM23+AM24+AM25</f>
        <v/>
      </c>
      <c r="AN26" s="3">
        <f>SUM(AN15:AN20)+AN23+AN24+AN25</f>
        <v/>
      </c>
      <c r="AO26" s="3">
        <f>SUM(AO15:AO20)+AO23+AO24+AO25</f>
        <v/>
      </c>
      <c r="AP26" s="3">
        <f>SUM(AP15:AP20)+AP23+AP24+AP25</f>
        <v/>
      </c>
      <c r="AQ26" s="3">
        <f>SUM(AQ15:AQ20)+AQ23+AQ24+AQ25</f>
        <v/>
      </c>
      <c r="AR26" s="3">
        <f>SUM(AR15:AR20)+AR23+AR24+AR25</f>
        <v/>
      </c>
      <c r="AS26" s="3">
        <f>SUM(AS15:AS20)+AS23+AS24+AS25</f>
        <v/>
      </c>
      <c r="AT26" s="3">
        <f>SUM(AT15:AT20)+AT23+AT24+AT25</f>
        <v/>
      </c>
      <c r="AU26" s="3">
        <f>SUM(AU15:AU20)+AU23+AU24+AU25</f>
        <v/>
      </c>
      <c r="AV26" s="3">
        <f>SUM(AV15:AV20)+AV23+AV24+AV25</f>
        <v/>
      </c>
      <c r="AW26" s="3">
        <f>SUM(AW15:AW20)+AW23+AW24+AW25</f>
        <v/>
      </c>
      <c r="AX26" s="3">
        <f>SUM(AX15:AX20)+AX23+AX24+AX25</f>
        <v/>
      </c>
      <c r="AY26" s="3">
        <f>SUM(AY15:AY20)+AY23+AY24+AY25</f>
        <v/>
      </c>
      <c r="AZ26" s="3">
        <f>SUM(AZ15:AZ20)+AZ23+AZ24+AZ25</f>
        <v/>
      </c>
      <c r="BA26" s="3">
        <f>SUM(BA15:BA20)+BA23+BA24+BA25</f>
        <v/>
      </c>
      <c r="BB26" s="3">
        <f>SUM(BB15:BB20)+BB23+BB24+BB25</f>
        <v/>
      </c>
      <c r="BC26" s="3">
        <f>SUM(BC15:BC20)+BC23+BC24+BC25</f>
        <v/>
      </c>
      <c r="BD26" s="3">
        <f>SUM(BD15:BD20)+BD23+BD24+BD25</f>
        <v/>
      </c>
      <c r="BE26" s="3">
        <f>SUM(BE15:BE20)+BE23+BE24+BE25</f>
        <v/>
      </c>
      <c r="BF26" s="3">
        <f>SUM(BF15:BF20)+BF23+BF24+BF25</f>
        <v/>
      </c>
      <c r="BG26" s="3">
        <f>SUM(BG15:BG20)+BG23+BG24+BG25</f>
        <v/>
      </c>
      <c r="BH26" s="3">
        <f>SUM(BH15:BH20)+BH23+BH24+BH25</f>
        <v/>
      </c>
      <c r="BI26" s="3">
        <f>SUM(BI15:BI20)+BI23+BI24+BI25</f>
        <v/>
      </c>
      <c r="BJ26" s="3">
        <f>SUM(BJ15:BJ20)+BJ23+BJ24+BJ25</f>
        <v/>
      </c>
    </row>
    <row r="27">
      <c r="A27" s="18" t="inlineStr">
        <is>
          <t>EBITDA</t>
        </is>
      </c>
      <c r="C27" s="3">
        <f>C14-C26</f>
        <v/>
      </c>
      <c r="D27" s="3">
        <f>D14-D26</f>
        <v/>
      </c>
      <c r="E27" s="3">
        <f>E14-E26</f>
        <v/>
      </c>
      <c r="F27" s="3">
        <f>F14-F26</f>
        <v/>
      </c>
      <c r="G27" s="3">
        <f>G14-G26</f>
        <v/>
      </c>
      <c r="H27" s="3">
        <f>H14-H26</f>
        <v/>
      </c>
      <c r="I27" s="3">
        <f>I14-I26</f>
        <v/>
      </c>
      <c r="J27" s="3">
        <f>J14-J26</f>
        <v/>
      </c>
      <c r="K27" s="3">
        <f>K14-K26</f>
        <v/>
      </c>
      <c r="L27" s="3">
        <f>L14-L26</f>
        <v/>
      </c>
      <c r="M27" s="3">
        <f>M14-M26</f>
        <v/>
      </c>
      <c r="N27" s="3">
        <f>N14-N26</f>
        <v/>
      </c>
      <c r="O27" s="3">
        <f>O14-O26</f>
        <v/>
      </c>
      <c r="P27" s="3">
        <f>P14-P26</f>
        <v/>
      </c>
      <c r="Q27" s="3">
        <f>Q14-Q26</f>
        <v/>
      </c>
      <c r="R27" s="3">
        <f>R14-R26</f>
        <v/>
      </c>
      <c r="S27" s="3">
        <f>S14-S26</f>
        <v/>
      </c>
      <c r="T27" s="3">
        <f>T14-T26</f>
        <v/>
      </c>
      <c r="U27" s="3">
        <f>U14-U26</f>
        <v/>
      </c>
      <c r="V27" s="3">
        <f>V14-V26</f>
        <v/>
      </c>
      <c r="W27" s="3">
        <f>W14-W26</f>
        <v/>
      </c>
      <c r="X27" s="3">
        <f>X14-X26</f>
        <v/>
      </c>
      <c r="Y27" s="3">
        <f>Y14-Y26</f>
        <v/>
      </c>
      <c r="Z27" s="3">
        <f>Z14-Z26</f>
        <v/>
      </c>
      <c r="AA27" s="3">
        <f>AA14-AA26</f>
        <v/>
      </c>
      <c r="AB27" s="3">
        <f>AB14-AB26</f>
        <v/>
      </c>
      <c r="AC27" s="3">
        <f>AC14-AC26</f>
        <v/>
      </c>
      <c r="AD27" s="3">
        <f>AD14-AD26</f>
        <v/>
      </c>
      <c r="AE27" s="3">
        <f>AE14-AE26</f>
        <v/>
      </c>
      <c r="AF27" s="3">
        <f>AF14-AF26</f>
        <v/>
      </c>
      <c r="AG27" s="3">
        <f>AG14-AG26</f>
        <v/>
      </c>
      <c r="AH27" s="3">
        <f>AH14-AH26</f>
        <v/>
      </c>
      <c r="AI27" s="3">
        <f>AI14-AI26</f>
        <v/>
      </c>
      <c r="AJ27" s="3">
        <f>AJ14-AJ26</f>
        <v/>
      </c>
      <c r="AK27" s="3">
        <f>AK14-AK26</f>
        <v/>
      </c>
      <c r="AL27" s="3">
        <f>AL14-AL26</f>
        <v/>
      </c>
      <c r="AM27" s="3">
        <f>AM14-AM26</f>
        <v/>
      </c>
      <c r="AN27" s="3">
        <f>AN14-AN26</f>
        <v/>
      </c>
      <c r="AO27" s="3">
        <f>AO14-AO26</f>
        <v/>
      </c>
      <c r="AP27" s="3">
        <f>AP14-AP26</f>
        <v/>
      </c>
      <c r="AQ27" s="3">
        <f>AQ14-AQ26</f>
        <v/>
      </c>
      <c r="AR27" s="3">
        <f>AR14-AR26</f>
        <v/>
      </c>
      <c r="AS27" s="3">
        <f>AS14-AS26</f>
        <v/>
      </c>
      <c r="AT27" s="3">
        <f>AT14-AT26</f>
        <v/>
      </c>
      <c r="AU27" s="3">
        <f>AU14-AU26</f>
        <v/>
      </c>
      <c r="AV27" s="3">
        <f>AV14-AV26</f>
        <v/>
      </c>
      <c r="AW27" s="3">
        <f>AW14-AW26</f>
        <v/>
      </c>
      <c r="AX27" s="3">
        <f>AX14-AX26</f>
        <v/>
      </c>
      <c r="AY27" s="3">
        <f>AY14-AY26</f>
        <v/>
      </c>
      <c r="AZ27" s="3">
        <f>AZ14-AZ26</f>
        <v/>
      </c>
      <c r="BA27" s="3">
        <f>BA14-BA26</f>
        <v/>
      </c>
      <c r="BB27" s="3">
        <f>BB14-BB26</f>
        <v/>
      </c>
      <c r="BC27" s="3">
        <f>BC14-BC26</f>
        <v/>
      </c>
      <c r="BD27" s="3">
        <f>BD14-BD26</f>
        <v/>
      </c>
      <c r="BE27" s="3">
        <f>BE14-BE26</f>
        <v/>
      </c>
      <c r="BF27" s="3">
        <f>BF14-BF26</f>
        <v/>
      </c>
      <c r="BG27" s="3">
        <f>BG14-BG26</f>
        <v/>
      </c>
      <c r="BH27" s="3">
        <f>BH14-BH26</f>
        <v/>
      </c>
      <c r="BI27" s="3">
        <f>BI14-BI26</f>
        <v/>
      </c>
      <c r="BJ27" s="3">
        <f>BJ14-BJ26</f>
        <v/>
      </c>
    </row>
    <row r="28">
      <c r="A28" t="inlineStr">
        <is>
          <t>Depreciation</t>
        </is>
      </c>
      <c r="C28" s="3">
        <f>IF(AND(Inputs!$E$88&gt;0,C3&lt;=Inputs!$E$88*12),INDEX(Capex!$C$19:$E$19,1,Inputs!$E$17)/MAX(Inputs!$E$88,1)/12,0)+IF(AND(Inputs!$E$89&gt;0,C3&lt;=Inputs!$E$89*12),INDEX(Capex!$C$20:$E$20,1,Inputs!$E$17)/MAX(Inputs!$E$89,1)/12,0)+IF(AND(Inputs!$E$90&gt;0,C3&lt;=Inputs!$E$90*12),INDEX(Capex!$C$21:$E$21,1,Inputs!$E$17)/MAX(Inputs!$E$90,1)/12,0)+IF(AND(Inputs!$E$91&gt;0,C3&lt;=Inputs!$E$91*12),INDEX(Capex!$C$22:$E$22,1,Inputs!$E$17)/MAX(Inputs!$E$91,1)/12,0)+IF(AND(Inputs!$E$92&gt;0,C3&lt;=Inputs!$E$92*12),INDEX(Capex!$C$23:$E$23,1,Inputs!$E$17)/MAX(Inputs!$E$92,1)/12,0)+IF(AND(Inputs!$E$93&gt;0,C3&lt;=Inputs!$E$93*12),INDEX(Capex!$C$24:$E$24,1,Inputs!$E$17)/MAX(Inputs!$E$93,1)/12,0)+IF(AND(Inputs!$E$94&gt;0,C3&lt;=Inputs!$E$94*12),INDEX(Capex!$C$25:$E$25,1,Inputs!$E$17)/MAX(Inputs!$E$94,1)/12,0)</f>
        <v/>
      </c>
      <c r="D28" s="3">
        <f>IF(AND(Inputs!$E$88&gt;0,D3&lt;=Inputs!$E$88*12),INDEX(Capex!$C$19:$E$19,1,Inputs!$E$17)/MAX(Inputs!$E$88,1)/12,0)+IF(AND(Inputs!$E$89&gt;0,D3&lt;=Inputs!$E$89*12),INDEX(Capex!$C$20:$E$20,1,Inputs!$E$17)/MAX(Inputs!$E$89,1)/12,0)+IF(AND(Inputs!$E$90&gt;0,D3&lt;=Inputs!$E$90*12),INDEX(Capex!$C$21:$E$21,1,Inputs!$E$17)/MAX(Inputs!$E$90,1)/12,0)+IF(AND(Inputs!$E$91&gt;0,D3&lt;=Inputs!$E$91*12),INDEX(Capex!$C$22:$E$22,1,Inputs!$E$17)/MAX(Inputs!$E$91,1)/12,0)+IF(AND(Inputs!$E$92&gt;0,D3&lt;=Inputs!$E$92*12),INDEX(Capex!$C$23:$E$23,1,Inputs!$E$17)/MAX(Inputs!$E$92,1)/12,0)+IF(AND(Inputs!$E$93&gt;0,D3&lt;=Inputs!$E$93*12),INDEX(Capex!$C$24:$E$24,1,Inputs!$E$17)/MAX(Inputs!$E$93,1)/12,0)+IF(AND(Inputs!$E$94&gt;0,D3&lt;=Inputs!$E$94*12),INDEX(Capex!$C$25:$E$25,1,Inputs!$E$17)/MAX(Inputs!$E$94,1)/12,0)</f>
        <v/>
      </c>
      <c r="E28" s="3">
        <f>IF(AND(Inputs!$E$88&gt;0,E3&lt;=Inputs!$E$88*12),INDEX(Capex!$C$19:$E$19,1,Inputs!$E$17)/MAX(Inputs!$E$88,1)/12,0)+IF(AND(Inputs!$E$89&gt;0,E3&lt;=Inputs!$E$89*12),INDEX(Capex!$C$20:$E$20,1,Inputs!$E$17)/MAX(Inputs!$E$89,1)/12,0)+IF(AND(Inputs!$E$90&gt;0,E3&lt;=Inputs!$E$90*12),INDEX(Capex!$C$21:$E$21,1,Inputs!$E$17)/MAX(Inputs!$E$90,1)/12,0)+IF(AND(Inputs!$E$91&gt;0,E3&lt;=Inputs!$E$91*12),INDEX(Capex!$C$22:$E$22,1,Inputs!$E$17)/MAX(Inputs!$E$91,1)/12,0)+IF(AND(Inputs!$E$92&gt;0,E3&lt;=Inputs!$E$92*12),INDEX(Capex!$C$23:$E$23,1,Inputs!$E$17)/MAX(Inputs!$E$92,1)/12,0)+IF(AND(Inputs!$E$93&gt;0,E3&lt;=Inputs!$E$93*12),INDEX(Capex!$C$24:$E$24,1,Inputs!$E$17)/MAX(Inputs!$E$93,1)/12,0)+IF(AND(Inputs!$E$94&gt;0,E3&lt;=Inputs!$E$94*12),INDEX(Capex!$C$25:$E$25,1,Inputs!$E$17)/MAX(Inputs!$E$94,1)/12,0)</f>
        <v/>
      </c>
      <c r="F28" s="3">
        <f>IF(AND(Inputs!$E$88&gt;0,F3&lt;=Inputs!$E$88*12),INDEX(Capex!$C$19:$E$19,1,Inputs!$E$17)/MAX(Inputs!$E$88,1)/12,0)+IF(AND(Inputs!$E$89&gt;0,F3&lt;=Inputs!$E$89*12),INDEX(Capex!$C$20:$E$20,1,Inputs!$E$17)/MAX(Inputs!$E$89,1)/12,0)+IF(AND(Inputs!$E$90&gt;0,F3&lt;=Inputs!$E$90*12),INDEX(Capex!$C$21:$E$21,1,Inputs!$E$17)/MAX(Inputs!$E$90,1)/12,0)+IF(AND(Inputs!$E$91&gt;0,F3&lt;=Inputs!$E$91*12),INDEX(Capex!$C$22:$E$22,1,Inputs!$E$17)/MAX(Inputs!$E$91,1)/12,0)+IF(AND(Inputs!$E$92&gt;0,F3&lt;=Inputs!$E$92*12),INDEX(Capex!$C$23:$E$23,1,Inputs!$E$17)/MAX(Inputs!$E$92,1)/12,0)+IF(AND(Inputs!$E$93&gt;0,F3&lt;=Inputs!$E$93*12),INDEX(Capex!$C$24:$E$24,1,Inputs!$E$17)/MAX(Inputs!$E$93,1)/12,0)+IF(AND(Inputs!$E$94&gt;0,F3&lt;=Inputs!$E$94*12),INDEX(Capex!$C$25:$E$25,1,Inputs!$E$17)/MAX(Inputs!$E$94,1)/12,0)</f>
        <v/>
      </c>
      <c r="G28" s="3">
        <f>IF(AND(Inputs!$E$88&gt;0,G3&lt;=Inputs!$E$88*12),INDEX(Capex!$C$19:$E$19,1,Inputs!$E$17)/MAX(Inputs!$E$88,1)/12,0)+IF(AND(Inputs!$E$89&gt;0,G3&lt;=Inputs!$E$89*12),INDEX(Capex!$C$20:$E$20,1,Inputs!$E$17)/MAX(Inputs!$E$89,1)/12,0)+IF(AND(Inputs!$E$90&gt;0,G3&lt;=Inputs!$E$90*12),INDEX(Capex!$C$21:$E$21,1,Inputs!$E$17)/MAX(Inputs!$E$90,1)/12,0)+IF(AND(Inputs!$E$91&gt;0,G3&lt;=Inputs!$E$91*12),INDEX(Capex!$C$22:$E$22,1,Inputs!$E$17)/MAX(Inputs!$E$91,1)/12,0)+IF(AND(Inputs!$E$92&gt;0,G3&lt;=Inputs!$E$92*12),INDEX(Capex!$C$23:$E$23,1,Inputs!$E$17)/MAX(Inputs!$E$92,1)/12,0)+IF(AND(Inputs!$E$93&gt;0,G3&lt;=Inputs!$E$93*12),INDEX(Capex!$C$24:$E$24,1,Inputs!$E$17)/MAX(Inputs!$E$93,1)/12,0)+IF(AND(Inputs!$E$94&gt;0,G3&lt;=Inputs!$E$94*12),INDEX(Capex!$C$25:$E$25,1,Inputs!$E$17)/MAX(Inputs!$E$94,1)/12,0)</f>
        <v/>
      </c>
      <c r="H28" s="3">
        <f>IF(AND(Inputs!$E$88&gt;0,H3&lt;=Inputs!$E$88*12),INDEX(Capex!$C$19:$E$19,1,Inputs!$E$17)/MAX(Inputs!$E$88,1)/12,0)+IF(AND(Inputs!$E$89&gt;0,H3&lt;=Inputs!$E$89*12),INDEX(Capex!$C$20:$E$20,1,Inputs!$E$17)/MAX(Inputs!$E$89,1)/12,0)+IF(AND(Inputs!$E$90&gt;0,H3&lt;=Inputs!$E$90*12),INDEX(Capex!$C$21:$E$21,1,Inputs!$E$17)/MAX(Inputs!$E$90,1)/12,0)+IF(AND(Inputs!$E$91&gt;0,H3&lt;=Inputs!$E$91*12),INDEX(Capex!$C$22:$E$22,1,Inputs!$E$17)/MAX(Inputs!$E$91,1)/12,0)+IF(AND(Inputs!$E$92&gt;0,H3&lt;=Inputs!$E$92*12),INDEX(Capex!$C$23:$E$23,1,Inputs!$E$17)/MAX(Inputs!$E$92,1)/12,0)+IF(AND(Inputs!$E$93&gt;0,H3&lt;=Inputs!$E$93*12),INDEX(Capex!$C$24:$E$24,1,Inputs!$E$17)/MAX(Inputs!$E$93,1)/12,0)+IF(AND(Inputs!$E$94&gt;0,H3&lt;=Inputs!$E$94*12),INDEX(Capex!$C$25:$E$25,1,Inputs!$E$17)/MAX(Inputs!$E$94,1)/12,0)</f>
        <v/>
      </c>
      <c r="I28" s="3">
        <f>IF(AND(Inputs!$E$88&gt;0,I3&lt;=Inputs!$E$88*12),INDEX(Capex!$C$19:$E$19,1,Inputs!$E$17)/MAX(Inputs!$E$88,1)/12,0)+IF(AND(Inputs!$E$89&gt;0,I3&lt;=Inputs!$E$89*12),INDEX(Capex!$C$20:$E$20,1,Inputs!$E$17)/MAX(Inputs!$E$89,1)/12,0)+IF(AND(Inputs!$E$90&gt;0,I3&lt;=Inputs!$E$90*12),INDEX(Capex!$C$21:$E$21,1,Inputs!$E$17)/MAX(Inputs!$E$90,1)/12,0)+IF(AND(Inputs!$E$91&gt;0,I3&lt;=Inputs!$E$91*12),INDEX(Capex!$C$22:$E$22,1,Inputs!$E$17)/MAX(Inputs!$E$91,1)/12,0)+IF(AND(Inputs!$E$92&gt;0,I3&lt;=Inputs!$E$92*12),INDEX(Capex!$C$23:$E$23,1,Inputs!$E$17)/MAX(Inputs!$E$92,1)/12,0)+IF(AND(Inputs!$E$93&gt;0,I3&lt;=Inputs!$E$93*12),INDEX(Capex!$C$24:$E$24,1,Inputs!$E$17)/MAX(Inputs!$E$93,1)/12,0)+IF(AND(Inputs!$E$94&gt;0,I3&lt;=Inputs!$E$94*12),INDEX(Capex!$C$25:$E$25,1,Inputs!$E$17)/MAX(Inputs!$E$94,1)/12,0)</f>
        <v/>
      </c>
      <c r="J28" s="3">
        <f>IF(AND(Inputs!$E$88&gt;0,J3&lt;=Inputs!$E$88*12),INDEX(Capex!$C$19:$E$19,1,Inputs!$E$17)/MAX(Inputs!$E$88,1)/12,0)+IF(AND(Inputs!$E$89&gt;0,J3&lt;=Inputs!$E$89*12),INDEX(Capex!$C$20:$E$20,1,Inputs!$E$17)/MAX(Inputs!$E$89,1)/12,0)+IF(AND(Inputs!$E$90&gt;0,J3&lt;=Inputs!$E$90*12),INDEX(Capex!$C$21:$E$21,1,Inputs!$E$17)/MAX(Inputs!$E$90,1)/12,0)+IF(AND(Inputs!$E$91&gt;0,J3&lt;=Inputs!$E$91*12),INDEX(Capex!$C$22:$E$22,1,Inputs!$E$17)/MAX(Inputs!$E$91,1)/12,0)+IF(AND(Inputs!$E$92&gt;0,J3&lt;=Inputs!$E$92*12),INDEX(Capex!$C$23:$E$23,1,Inputs!$E$17)/MAX(Inputs!$E$92,1)/12,0)+IF(AND(Inputs!$E$93&gt;0,J3&lt;=Inputs!$E$93*12),INDEX(Capex!$C$24:$E$24,1,Inputs!$E$17)/MAX(Inputs!$E$93,1)/12,0)+IF(AND(Inputs!$E$94&gt;0,J3&lt;=Inputs!$E$94*12),INDEX(Capex!$C$25:$E$25,1,Inputs!$E$17)/MAX(Inputs!$E$94,1)/12,0)</f>
        <v/>
      </c>
      <c r="K28" s="3">
        <f>IF(AND(Inputs!$E$88&gt;0,K3&lt;=Inputs!$E$88*12),INDEX(Capex!$C$19:$E$19,1,Inputs!$E$17)/MAX(Inputs!$E$88,1)/12,0)+IF(AND(Inputs!$E$89&gt;0,K3&lt;=Inputs!$E$89*12),INDEX(Capex!$C$20:$E$20,1,Inputs!$E$17)/MAX(Inputs!$E$89,1)/12,0)+IF(AND(Inputs!$E$90&gt;0,K3&lt;=Inputs!$E$90*12),INDEX(Capex!$C$21:$E$21,1,Inputs!$E$17)/MAX(Inputs!$E$90,1)/12,0)+IF(AND(Inputs!$E$91&gt;0,K3&lt;=Inputs!$E$91*12),INDEX(Capex!$C$22:$E$22,1,Inputs!$E$17)/MAX(Inputs!$E$91,1)/12,0)+IF(AND(Inputs!$E$92&gt;0,K3&lt;=Inputs!$E$92*12),INDEX(Capex!$C$23:$E$23,1,Inputs!$E$17)/MAX(Inputs!$E$92,1)/12,0)+IF(AND(Inputs!$E$93&gt;0,K3&lt;=Inputs!$E$93*12),INDEX(Capex!$C$24:$E$24,1,Inputs!$E$17)/MAX(Inputs!$E$93,1)/12,0)+IF(AND(Inputs!$E$94&gt;0,K3&lt;=Inputs!$E$94*12),INDEX(Capex!$C$25:$E$25,1,Inputs!$E$17)/MAX(Inputs!$E$94,1)/12,0)</f>
        <v/>
      </c>
      <c r="L28" s="3">
        <f>IF(AND(Inputs!$E$88&gt;0,L3&lt;=Inputs!$E$88*12),INDEX(Capex!$C$19:$E$19,1,Inputs!$E$17)/MAX(Inputs!$E$88,1)/12,0)+IF(AND(Inputs!$E$89&gt;0,L3&lt;=Inputs!$E$89*12),INDEX(Capex!$C$20:$E$20,1,Inputs!$E$17)/MAX(Inputs!$E$89,1)/12,0)+IF(AND(Inputs!$E$90&gt;0,L3&lt;=Inputs!$E$90*12),INDEX(Capex!$C$21:$E$21,1,Inputs!$E$17)/MAX(Inputs!$E$90,1)/12,0)+IF(AND(Inputs!$E$91&gt;0,L3&lt;=Inputs!$E$91*12),INDEX(Capex!$C$22:$E$22,1,Inputs!$E$17)/MAX(Inputs!$E$91,1)/12,0)+IF(AND(Inputs!$E$92&gt;0,L3&lt;=Inputs!$E$92*12),INDEX(Capex!$C$23:$E$23,1,Inputs!$E$17)/MAX(Inputs!$E$92,1)/12,0)+IF(AND(Inputs!$E$93&gt;0,L3&lt;=Inputs!$E$93*12),INDEX(Capex!$C$24:$E$24,1,Inputs!$E$17)/MAX(Inputs!$E$93,1)/12,0)+IF(AND(Inputs!$E$94&gt;0,L3&lt;=Inputs!$E$94*12),INDEX(Capex!$C$25:$E$25,1,Inputs!$E$17)/MAX(Inputs!$E$94,1)/12,0)</f>
        <v/>
      </c>
      <c r="M28" s="3">
        <f>IF(AND(Inputs!$E$88&gt;0,M3&lt;=Inputs!$E$88*12),INDEX(Capex!$C$19:$E$19,1,Inputs!$E$17)/MAX(Inputs!$E$88,1)/12,0)+IF(AND(Inputs!$E$89&gt;0,M3&lt;=Inputs!$E$89*12),INDEX(Capex!$C$20:$E$20,1,Inputs!$E$17)/MAX(Inputs!$E$89,1)/12,0)+IF(AND(Inputs!$E$90&gt;0,M3&lt;=Inputs!$E$90*12),INDEX(Capex!$C$21:$E$21,1,Inputs!$E$17)/MAX(Inputs!$E$90,1)/12,0)+IF(AND(Inputs!$E$91&gt;0,M3&lt;=Inputs!$E$91*12),INDEX(Capex!$C$22:$E$22,1,Inputs!$E$17)/MAX(Inputs!$E$91,1)/12,0)+IF(AND(Inputs!$E$92&gt;0,M3&lt;=Inputs!$E$92*12),INDEX(Capex!$C$23:$E$23,1,Inputs!$E$17)/MAX(Inputs!$E$92,1)/12,0)+IF(AND(Inputs!$E$93&gt;0,M3&lt;=Inputs!$E$93*12),INDEX(Capex!$C$24:$E$24,1,Inputs!$E$17)/MAX(Inputs!$E$93,1)/12,0)+IF(AND(Inputs!$E$94&gt;0,M3&lt;=Inputs!$E$94*12),INDEX(Capex!$C$25:$E$25,1,Inputs!$E$17)/MAX(Inputs!$E$94,1)/12,0)</f>
        <v/>
      </c>
      <c r="N28" s="3">
        <f>IF(AND(Inputs!$E$88&gt;0,N3&lt;=Inputs!$E$88*12),INDEX(Capex!$C$19:$E$19,1,Inputs!$E$17)/MAX(Inputs!$E$88,1)/12,0)+IF(AND(Inputs!$E$89&gt;0,N3&lt;=Inputs!$E$89*12),INDEX(Capex!$C$20:$E$20,1,Inputs!$E$17)/MAX(Inputs!$E$89,1)/12,0)+IF(AND(Inputs!$E$90&gt;0,N3&lt;=Inputs!$E$90*12),INDEX(Capex!$C$21:$E$21,1,Inputs!$E$17)/MAX(Inputs!$E$90,1)/12,0)+IF(AND(Inputs!$E$91&gt;0,N3&lt;=Inputs!$E$91*12),INDEX(Capex!$C$22:$E$22,1,Inputs!$E$17)/MAX(Inputs!$E$91,1)/12,0)+IF(AND(Inputs!$E$92&gt;0,N3&lt;=Inputs!$E$92*12),INDEX(Capex!$C$23:$E$23,1,Inputs!$E$17)/MAX(Inputs!$E$92,1)/12,0)+IF(AND(Inputs!$E$93&gt;0,N3&lt;=Inputs!$E$93*12),INDEX(Capex!$C$24:$E$24,1,Inputs!$E$17)/MAX(Inputs!$E$93,1)/12,0)+IF(AND(Inputs!$E$94&gt;0,N3&lt;=Inputs!$E$94*12),INDEX(Capex!$C$25:$E$25,1,Inputs!$E$17)/MAX(Inputs!$E$94,1)/12,0)</f>
        <v/>
      </c>
      <c r="O28" s="3">
        <f>IF(AND(Inputs!$E$88&gt;0,O3&lt;=Inputs!$E$88*12),INDEX(Capex!$C$19:$E$19,1,Inputs!$E$17)/MAX(Inputs!$E$88,1)/12,0)+IF(AND(Inputs!$E$89&gt;0,O3&lt;=Inputs!$E$89*12),INDEX(Capex!$C$20:$E$20,1,Inputs!$E$17)/MAX(Inputs!$E$89,1)/12,0)+IF(AND(Inputs!$E$90&gt;0,O3&lt;=Inputs!$E$90*12),INDEX(Capex!$C$21:$E$21,1,Inputs!$E$17)/MAX(Inputs!$E$90,1)/12,0)+IF(AND(Inputs!$E$91&gt;0,O3&lt;=Inputs!$E$91*12),INDEX(Capex!$C$22:$E$22,1,Inputs!$E$17)/MAX(Inputs!$E$91,1)/12,0)+IF(AND(Inputs!$E$92&gt;0,O3&lt;=Inputs!$E$92*12),INDEX(Capex!$C$23:$E$23,1,Inputs!$E$17)/MAX(Inputs!$E$92,1)/12,0)+IF(AND(Inputs!$E$93&gt;0,O3&lt;=Inputs!$E$93*12),INDEX(Capex!$C$24:$E$24,1,Inputs!$E$17)/MAX(Inputs!$E$93,1)/12,0)+IF(AND(Inputs!$E$94&gt;0,O3&lt;=Inputs!$E$94*12),INDEX(Capex!$C$25:$E$25,1,Inputs!$E$17)/MAX(Inputs!$E$94,1)/12,0)</f>
        <v/>
      </c>
      <c r="P28" s="3">
        <f>IF(AND(Inputs!$E$88&gt;0,P3&lt;=Inputs!$E$88*12),INDEX(Capex!$C$19:$E$19,1,Inputs!$E$17)/MAX(Inputs!$E$88,1)/12,0)+IF(AND(Inputs!$E$89&gt;0,P3&lt;=Inputs!$E$89*12),INDEX(Capex!$C$20:$E$20,1,Inputs!$E$17)/MAX(Inputs!$E$89,1)/12,0)+IF(AND(Inputs!$E$90&gt;0,P3&lt;=Inputs!$E$90*12),INDEX(Capex!$C$21:$E$21,1,Inputs!$E$17)/MAX(Inputs!$E$90,1)/12,0)+IF(AND(Inputs!$E$91&gt;0,P3&lt;=Inputs!$E$91*12),INDEX(Capex!$C$22:$E$22,1,Inputs!$E$17)/MAX(Inputs!$E$91,1)/12,0)+IF(AND(Inputs!$E$92&gt;0,P3&lt;=Inputs!$E$92*12),INDEX(Capex!$C$23:$E$23,1,Inputs!$E$17)/MAX(Inputs!$E$92,1)/12,0)+IF(AND(Inputs!$E$93&gt;0,P3&lt;=Inputs!$E$93*12),INDEX(Capex!$C$24:$E$24,1,Inputs!$E$17)/MAX(Inputs!$E$93,1)/12,0)+IF(AND(Inputs!$E$94&gt;0,P3&lt;=Inputs!$E$94*12),INDEX(Capex!$C$25:$E$25,1,Inputs!$E$17)/MAX(Inputs!$E$94,1)/12,0)</f>
        <v/>
      </c>
      <c r="Q28" s="3">
        <f>IF(AND(Inputs!$E$88&gt;0,Q3&lt;=Inputs!$E$88*12),INDEX(Capex!$C$19:$E$19,1,Inputs!$E$17)/MAX(Inputs!$E$88,1)/12,0)+IF(AND(Inputs!$E$89&gt;0,Q3&lt;=Inputs!$E$89*12),INDEX(Capex!$C$20:$E$20,1,Inputs!$E$17)/MAX(Inputs!$E$89,1)/12,0)+IF(AND(Inputs!$E$90&gt;0,Q3&lt;=Inputs!$E$90*12),INDEX(Capex!$C$21:$E$21,1,Inputs!$E$17)/MAX(Inputs!$E$90,1)/12,0)+IF(AND(Inputs!$E$91&gt;0,Q3&lt;=Inputs!$E$91*12),INDEX(Capex!$C$22:$E$22,1,Inputs!$E$17)/MAX(Inputs!$E$91,1)/12,0)+IF(AND(Inputs!$E$92&gt;0,Q3&lt;=Inputs!$E$92*12),INDEX(Capex!$C$23:$E$23,1,Inputs!$E$17)/MAX(Inputs!$E$92,1)/12,0)+IF(AND(Inputs!$E$93&gt;0,Q3&lt;=Inputs!$E$93*12),INDEX(Capex!$C$24:$E$24,1,Inputs!$E$17)/MAX(Inputs!$E$93,1)/12,0)+IF(AND(Inputs!$E$94&gt;0,Q3&lt;=Inputs!$E$94*12),INDEX(Capex!$C$25:$E$25,1,Inputs!$E$17)/MAX(Inputs!$E$94,1)/12,0)</f>
        <v/>
      </c>
      <c r="R28" s="3">
        <f>IF(AND(Inputs!$E$88&gt;0,R3&lt;=Inputs!$E$88*12),INDEX(Capex!$C$19:$E$19,1,Inputs!$E$17)/MAX(Inputs!$E$88,1)/12,0)+IF(AND(Inputs!$E$89&gt;0,R3&lt;=Inputs!$E$89*12),INDEX(Capex!$C$20:$E$20,1,Inputs!$E$17)/MAX(Inputs!$E$89,1)/12,0)+IF(AND(Inputs!$E$90&gt;0,R3&lt;=Inputs!$E$90*12),INDEX(Capex!$C$21:$E$21,1,Inputs!$E$17)/MAX(Inputs!$E$90,1)/12,0)+IF(AND(Inputs!$E$91&gt;0,R3&lt;=Inputs!$E$91*12),INDEX(Capex!$C$22:$E$22,1,Inputs!$E$17)/MAX(Inputs!$E$91,1)/12,0)+IF(AND(Inputs!$E$92&gt;0,R3&lt;=Inputs!$E$92*12),INDEX(Capex!$C$23:$E$23,1,Inputs!$E$17)/MAX(Inputs!$E$92,1)/12,0)+IF(AND(Inputs!$E$93&gt;0,R3&lt;=Inputs!$E$93*12),INDEX(Capex!$C$24:$E$24,1,Inputs!$E$17)/MAX(Inputs!$E$93,1)/12,0)+IF(AND(Inputs!$E$94&gt;0,R3&lt;=Inputs!$E$94*12),INDEX(Capex!$C$25:$E$25,1,Inputs!$E$17)/MAX(Inputs!$E$94,1)/12,0)</f>
        <v/>
      </c>
      <c r="S28" s="3">
        <f>IF(AND(Inputs!$E$88&gt;0,S3&lt;=Inputs!$E$88*12),INDEX(Capex!$C$19:$E$19,1,Inputs!$E$17)/MAX(Inputs!$E$88,1)/12,0)+IF(AND(Inputs!$E$89&gt;0,S3&lt;=Inputs!$E$89*12),INDEX(Capex!$C$20:$E$20,1,Inputs!$E$17)/MAX(Inputs!$E$89,1)/12,0)+IF(AND(Inputs!$E$90&gt;0,S3&lt;=Inputs!$E$90*12),INDEX(Capex!$C$21:$E$21,1,Inputs!$E$17)/MAX(Inputs!$E$90,1)/12,0)+IF(AND(Inputs!$E$91&gt;0,S3&lt;=Inputs!$E$91*12),INDEX(Capex!$C$22:$E$22,1,Inputs!$E$17)/MAX(Inputs!$E$91,1)/12,0)+IF(AND(Inputs!$E$92&gt;0,S3&lt;=Inputs!$E$92*12),INDEX(Capex!$C$23:$E$23,1,Inputs!$E$17)/MAX(Inputs!$E$92,1)/12,0)+IF(AND(Inputs!$E$93&gt;0,S3&lt;=Inputs!$E$93*12),INDEX(Capex!$C$24:$E$24,1,Inputs!$E$17)/MAX(Inputs!$E$93,1)/12,0)+IF(AND(Inputs!$E$94&gt;0,S3&lt;=Inputs!$E$94*12),INDEX(Capex!$C$25:$E$25,1,Inputs!$E$17)/MAX(Inputs!$E$94,1)/12,0)</f>
        <v/>
      </c>
      <c r="T28" s="3">
        <f>IF(AND(Inputs!$E$88&gt;0,T3&lt;=Inputs!$E$88*12),INDEX(Capex!$C$19:$E$19,1,Inputs!$E$17)/MAX(Inputs!$E$88,1)/12,0)+IF(AND(Inputs!$E$89&gt;0,T3&lt;=Inputs!$E$89*12),INDEX(Capex!$C$20:$E$20,1,Inputs!$E$17)/MAX(Inputs!$E$89,1)/12,0)+IF(AND(Inputs!$E$90&gt;0,T3&lt;=Inputs!$E$90*12),INDEX(Capex!$C$21:$E$21,1,Inputs!$E$17)/MAX(Inputs!$E$90,1)/12,0)+IF(AND(Inputs!$E$91&gt;0,T3&lt;=Inputs!$E$91*12),INDEX(Capex!$C$22:$E$22,1,Inputs!$E$17)/MAX(Inputs!$E$91,1)/12,0)+IF(AND(Inputs!$E$92&gt;0,T3&lt;=Inputs!$E$92*12),INDEX(Capex!$C$23:$E$23,1,Inputs!$E$17)/MAX(Inputs!$E$92,1)/12,0)+IF(AND(Inputs!$E$93&gt;0,T3&lt;=Inputs!$E$93*12),INDEX(Capex!$C$24:$E$24,1,Inputs!$E$17)/MAX(Inputs!$E$93,1)/12,0)+IF(AND(Inputs!$E$94&gt;0,T3&lt;=Inputs!$E$94*12),INDEX(Capex!$C$25:$E$25,1,Inputs!$E$17)/MAX(Inputs!$E$94,1)/12,0)</f>
        <v/>
      </c>
      <c r="U28" s="3">
        <f>IF(AND(Inputs!$E$88&gt;0,U3&lt;=Inputs!$E$88*12),INDEX(Capex!$C$19:$E$19,1,Inputs!$E$17)/MAX(Inputs!$E$88,1)/12,0)+IF(AND(Inputs!$E$89&gt;0,U3&lt;=Inputs!$E$89*12),INDEX(Capex!$C$20:$E$20,1,Inputs!$E$17)/MAX(Inputs!$E$89,1)/12,0)+IF(AND(Inputs!$E$90&gt;0,U3&lt;=Inputs!$E$90*12),INDEX(Capex!$C$21:$E$21,1,Inputs!$E$17)/MAX(Inputs!$E$90,1)/12,0)+IF(AND(Inputs!$E$91&gt;0,U3&lt;=Inputs!$E$91*12),INDEX(Capex!$C$22:$E$22,1,Inputs!$E$17)/MAX(Inputs!$E$91,1)/12,0)+IF(AND(Inputs!$E$92&gt;0,U3&lt;=Inputs!$E$92*12),INDEX(Capex!$C$23:$E$23,1,Inputs!$E$17)/MAX(Inputs!$E$92,1)/12,0)+IF(AND(Inputs!$E$93&gt;0,U3&lt;=Inputs!$E$93*12),INDEX(Capex!$C$24:$E$24,1,Inputs!$E$17)/MAX(Inputs!$E$93,1)/12,0)+IF(AND(Inputs!$E$94&gt;0,U3&lt;=Inputs!$E$94*12),INDEX(Capex!$C$25:$E$25,1,Inputs!$E$17)/MAX(Inputs!$E$94,1)/12,0)</f>
        <v/>
      </c>
      <c r="V28" s="3">
        <f>IF(AND(Inputs!$E$88&gt;0,V3&lt;=Inputs!$E$88*12),INDEX(Capex!$C$19:$E$19,1,Inputs!$E$17)/MAX(Inputs!$E$88,1)/12,0)+IF(AND(Inputs!$E$89&gt;0,V3&lt;=Inputs!$E$89*12),INDEX(Capex!$C$20:$E$20,1,Inputs!$E$17)/MAX(Inputs!$E$89,1)/12,0)+IF(AND(Inputs!$E$90&gt;0,V3&lt;=Inputs!$E$90*12),INDEX(Capex!$C$21:$E$21,1,Inputs!$E$17)/MAX(Inputs!$E$90,1)/12,0)+IF(AND(Inputs!$E$91&gt;0,V3&lt;=Inputs!$E$91*12),INDEX(Capex!$C$22:$E$22,1,Inputs!$E$17)/MAX(Inputs!$E$91,1)/12,0)+IF(AND(Inputs!$E$92&gt;0,V3&lt;=Inputs!$E$92*12),INDEX(Capex!$C$23:$E$23,1,Inputs!$E$17)/MAX(Inputs!$E$92,1)/12,0)+IF(AND(Inputs!$E$93&gt;0,V3&lt;=Inputs!$E$93*12),INDEX(Capex!$C$24:$E$24,1,Inputs!$E$17)/MAX(Inputs!$E$93,1)/12,0)+IF(AND(Inputs!$E$94&gt;0,V3&lt;=Inputs!$E$94*12),INDEX(Capex!$C$25:$E$25,1,Inputs!$E$17)/MAX(Inputs!$E$94,1)/12,0)</f>
        <v/>
      </c>
      <c r="W28" s="3">
        <f>IF(AND(Inputs!$E$88&gt;0,W3&lt;=Inputs!$E$88*12),INDEX(Capex!$C$19:$E$19,1,Inputs!$E$17)/MAX(Inputs!$E$88,1)/12,0)+IF(AND(Inputs!$E$89&gt;0,W3&lt;=Inputs!$E$89*12),INDEX(Capex!$C$20:$E$20,1,Inputs!$E$17)/MAX(Inputs!$E$89,1)/12,0)+IF(AND(Inputs!$E$90&gt;0,W3&lt;=Inputs!$E$90*12),INDEX(Capex!$C$21:$E$21,1,Inputs!$E$17)/MAX(Inputs!$E$90,1)/12,0)+IF(AND(Inputs!$E$91&gt;0,W3&lt;=Inputs!$E$91*12),INDEX(Capex!$C$22:$E$22,1,Inputs!$E$17)/MAX(Inputs!$E$91,1)/12,0)+IF(AND(Inputs!$E$92&gt;0,W3&lt;=Inputs!$E$92*12),INDEX(Capex!$C$23:$E$23,1,Inputs!$E$17)/MAX(Inputs!$E$92,1)/12,0)+IF(AND(Inputs!$E$93&gt;0,W3&lt;=Inputs!$E$93*12),INDEX(Capex!$C$24:$E$24,1,Inputs!$E$17)/MAX(Inputs!$E$93,1)/12,0)+IF(AND(Inputs!$E$94&gt;0,W3&lt;=Inputs!$E$94*12),INDEX(Capex!$C$25:$E$25,1,Inputs!$E$17)/MAX(Inputs!$E$94,1)/12,0)</f>
        <v/>
      </c>
      <c r="X28" s="3">
        <f>IF(AND(Inputs!$E$88&gt;0,X3&lt;=Inputs!$E$88*12),INDEX(Capex!$C$19:$E$19,1,Inputs!$E$17)/MAX(Inputs!$E$88,1)/12,0)+IF(AND(Inputs!$E$89&gt;0,X3&lt;=Inputs!$E$89*12),INDEX(Capex!$C$20:$E$20,1,Inputs!$E$17)/MAX(Inputs!$E$89,1)/12,0)+IF(AND(Inputs!$E$90&gt;0,X3&lt;=Inputs!$E$90*12),INDEX(Capex!$C$21:$E$21,1,Inputs!$E$17)/MAX(Inputs!$E$90,1)/12,0)+IF(AND(Inputs!$E$91&gt;0,X3&lt;=Inputs!$E$91*12),INDEX(Capex!$C$22:$E$22,1,Inputs!$E$17)/MAX(Inputs!$E$91,1)/12,0)+IF(AND(Inputs!$E$92&gt;0,X3&lt;=Inputs!$E$92*12),INDEX(Capex!$C$23:$E$23,1,Inputs!$E$17)/MAX(Inputs!$E$92,1)/12,0)+IF(AND(Inputs!$E$93&gt;0,X3&lt;=Inputs!$E$93*12),INDEX(Capex!$C$24:$E$24,1,Inputs!$E$17)/MAX(Inputs!$E$93,1)/12,0)+IF(AND(Inputs!$E$94&gt;0,X3&lt;=Inputs!$E$94*12),INDEX(Capex!$C$25:$E$25,1,Inputs!$E$17)/MAX(Inputs!$E$94,1)/12,0)</f>
        <v/>
      </c>
      <c r="Y28" s="3">
        <f>IF(AND(Inputs!$E$88&gt;0,Y3&lt;=Inputs!$E$88*12),INDEX(Capex!$C$19:$E$19,1,Inputs!$E$17)/MAX(Inputs!$E$88,1)/12,0)+IF(AND(Inputs!$E$89&gt;0,Y3&lt;=Inputs!$E$89*12),INDEX(Capex!$C$20:$E$20,1,Inputs!$E$17)/MAX(Inputs!$E$89,1)/12,0)+IF(AND(Inputs!$E$90&gt;0,Y3&lt;=Inputs!$E$90*12),INDEX(Capex!$C$21:$E$21,1,Inputs!$E$17)/MAX(Inputs!$E$90,1)/12,0)+IF(AND(Inputs!$E$91&gt;0,Y3&lt;=Inputs!$E$91*12),INDEX(Capex!$C$22:$E$22,1,Inputs!$E$17)/MAX(Inputs!$E$91,1)/12,0)+IF(AND(Inputs!$E$92&gt;0,Y3&lt;=Inputs!$E$92*12),INDEX(Capex!$C$23:$E$23,1,Inputs!$E$17)/MAX(Inputs!$E$92,1)/12,0)+IF(AND(Inputs!$E$93&gt;0,Y3&lt;=Inputs!$E$93*12),INDEX(Capex!$C$24:$E$24,1,Inputs!$E$17)/MAX(Inputs!$E$93,1)/12,0)+IF(AND(Inputs!$E$94&gt;0,Y3&lt;=Inputs!$E$94*12),INDEX(Capex!$C$25:$E$25,1,Inputs!$E$17)/MAX(Inputs!$E$94,1)/12,0)</f>
        <v/>
      </c>
      <c r="Z28" s="3">
        <f>IF(AND(Inputs!$E$88&gt;0,Z3&lt;=Inputs!$E$88*12),INDEX(Capex!$C$19:$E$19,1,Inputs!$E$17)/MAX(Inputs!$E$88,1)/12,0)+IF(AND(Inputs!$E$89&gt;0,Z3&lt;=Inputs!$E$89*12),INDEX(Capex!$C$20:$E$20,1,Inputs!$E$17)/MAX(Inputs!$E$89,1)/12,0)+IF(AND(Inputs!$E$90&gt;0,Z3&lt;=Inputs!$E$90*12),INDEX(Capex!$C$21:$E$21,1,Inputs!$E$17)/MAX(Inputs!$E$90,1)/12,0)+IF(AND(Inputs!$E$91&gt;0,Z3&lt;=Inputs!$E$91*12),INDEX(Capex!$C$22:$E$22,1,Inputs!$E$17)/MAX(Inputs!$E$91,1)/12,0)+IF(AND(Inputs!$E$92&gt;0,Z3&lt;=Inputs!$E$92*12),INDEX(Capex!$C$23:$E$23,1,Inputs!$E$17)/MAX(Inputs!$E$92,1)/12,0)+IF(AND(Inputs!$E$93&gt;0,Z3&lt;=Inputs!$E$93*12),INDEX(Capex!$C$24:$E$24,1,Inputs!$E$17)/MAX(Inputs!$E$93,1)/12,0)+IF(AND(Inputs!$E$94&gt;0,Z3&lt;=Inputs!$E$94*12),INDEX(Capex!$C$25:$E$25,1,Inputs!$E$17)/MAX(Inputs!$E$94,1)/12,0)</f>
        <v/>
      </c>
      <c r="AA28" s="3">
        <f>IF(AND(Inputs!$E$88&gt;0,AA3&lt;=Inputs!$E$88*12),INDEX(Capex!$C$19:$E$19,1,Inputs!$E$17)/MAX(Inputs!$E$88,1)/12,0)+IF(AND(Inputs!$E$89&gt;0,AA3&lt;=Inputs!$E$89*12),INDEX(Capex!$C$20:$E$20,1,Inputs!$E$17)/MAX(Inputs!$E$89,1)/12,0)+IF(AND(Inputs!$E$90&gt;0,AA3&lt;=Inputs!$E$90*12),INDEX(Capex!$C$21:$E$21,1,Inputs!$E$17)/MAX(Inputs!$E$90,1)/12,0)+IF(AND(Inputs!$E$91&gt;0,AA3&lt;=Inputs!$E$91*12),INDEX(Capex!$C$22:$E$22,1,Inputs!$E$17)/MAX(Inputs!$E$91,1)/12,0)+IF(AND(Inputs!$E$92&gt;0,AA3&lt;=Inputs!$E$92*12),INDEX(Capex!$C$23:$E$23,1,Inputs!$E$17)/MAX(Inputs!$E$92,1)/12,0)+IF(AND(Inputs!$E$93&gt;0,AA3&lt;=Inputs!$E$93*12),INDEX(Capex!$C$24:$E$24,1,Inputs!$E$17)/MAX(Inputs!$E$93,1)/12,0)+IF(AND(Inputs!$E$94&gt;0,AA3&lt;=Inputs!$E$94*12),INDEX(Capex!$C$25:$E$25,1,Inputs!$E$17)/MAX(Inputs!$E$94,1)/12,0)</f>
        <v/>
      </c>
      <c r="AB28" s="3">
        <f>IF(AND(Inputs!$E$88&gt;0,AB3&lt;=Inputs!$E$88*12),INDEX(Capex!$C$19:$E$19,1,Inputs!$E$17)/MAX(Inputs!$E$88,1)/12,0)+IF(AND(Inputs!$E$89&gt;0,AB3&lt;=Inputs!$E$89*12),INDEX(Capex!$C$20:$E$20,1,Inputs!$E$17)/MAX(Inputs!$E$89,1)/12,0)+IF(AND(Inputs!$E$90&gt;0,AB3&lt;=Inputs!$E$90*12),INDEX(Capex!$C$21:$E$21,1,Inputs!$E$17)/MAX(Inputs!$E$90,1)/12,0)+IF(AND(Inputs!$E$91&gt;0,AB3&lt;=Inputs!$E$91*12),INDEX(Capex!$C$22:$E$22,1,Inputs!$E$17)/MAX(Inputs!$E$91,1)/12,0)+IF(AND(Inputs!$E$92&gt;0,AB3&lt;=Inputs!$E$92*12),INDEX(Capex!$C$23:$E$23,1,Inputs!$E$17)/MAX(Inputs!$E$92,1)/12,0)+IF(AND(Inputs!$E$93&gt;0,AB3&lt;=Inputs!$E$93*12),INDEX(Capex!$C$24:$E$24,1,Inputs!$E$17)/MAX(Inputs!$E$93,1)/12,0)+IF(AND(Inputs!$E$94&gt;0,AB3&lt;=Inputs!$E$94*12),INDEX(Capex!$C$25:$E$25,1,Inputs!$E$17)/MAX(Inputs!$E$94,1)/12,0)</f>
        <v/>
      </c>
      <c r="AC28" s="3">
        <f>IF(AND(Inputs!$E$88&gt;0,AC3&lt;=Inputs!$E$88*12),INDEX(Capex!$C$19:$E$19,1,Inputs!$E$17)/MAX(Inputs!$E$88,1)/12,0)+IF(AND(Inputs!$E$89&gt;0,AC3&lt;=Inputs!$E$89*12),INDEX(Capex!$C$20:$E$20,1,Inputs!$E$17)/MAX(Inputs!$E$89,1)/12,0)+IF(AND(Inputs!$E$90&gt;0,AC3&lt;=Inputs!$E$90*12),INDEX(Capex!$C$21:$E$21,1,Inputs!$E$17)/MAX(Inputs!$E$90,1)/12,0)+IF(AND(Inputs!$E$91&gt;0,AC3&lt;=Inputs!$E$91*12),INDEX(Capex!$C$22:$E$22,1,Inputs!$E$17)/MAX(Inputs!$E$91,1)/12,0)+IF(AND(Inputs!$E$92&gt;0,AC3&lt;=Inputs!$E$92*12),INDEX(Capex!$C$23:$E$23,1,Inputs!$E$17)/MAX(Inputs!$E$92,1)/12,0)+IF(AND(Inputs!$E$93&gt;0,AC3&lt;=Inputs!$E$93*12),INDEX(Capex!$C$24:$E$24,1,Inputs!$E$17)/MAX(Inputs!$E$93,1)/12,0)+IF(AND(Inputs!$E$94&gt;0,AC3&lt;=Inputs!$E$94*12),INDEX(Capex!$C$25:$E$25,1,Inputs!$E$17)/MAX(Inputs!$E$94,1)/12,0)</f>
        <v/>
      </c>
      <c r="AD28" s="3">
        <f>IF(AND(Inputs!$E$88&gt;0,AD3&lt;=Inputs!$E$88*12),INDEX(Capex!$C$19:$E$19,1,Inputs!$E$17)/MAX(Inputs!$E$88,1)/12,0)+IF(AND(Inputs!$E$89&gt;0,AD3&lt;=Inputs!$E$89*12),INDEX(Capex!$C$20:$E$20,1,Inputs!$E$17)/MAX(Inputs!$E$89,1)/12,0)+IF(AND(Inputs!$E$90&gt;0,AD3&lt;=Inputs!$E$90*12),INDEX(Capex!$C$21:$E$21,1,Inputs!$E$17)/MAX(Inputs!$E$90,1)/12,0)+IF(AND(Inputs!$E$91&gt;0,AD3&lt;=Inputs!$E$91*12),INDEX(Capex!$C$22:$E$22,1,Inputs!$E$17)/MAX(Inputs!$E$91,1)/12,0)+IF(AND(Inputs!$E$92&gt;0,AD3&lt;=Inputs!$E$92*12),INDEX(Capex!$C$23:$E$23,1,Inputs!$E$17)/MAX(Inputs!$E$92,1)/12,0)+IF(AND(Inputs!$E$93&gt;0,AD3&lt;=Inputs!$E$93*12),INDEX(Capex!$C$24:$E$24,1,Inputs!$E$17)/MAX(Inputs!$E$93,1)/12,0)+IF(AND(Inputs!$E$94&gt;0,AD3&lt;=Inputs!$E$94*12),INDEX(Capex!$C$25:$E$25,1,Inputs!$E$17)/MAX(Inputs!$E$94,1)/12,0)</f>
        <v/>
      </c>
      <c r="AE28" s="3">
        <f>IF(AND(Inputs!$E$88&gt;0,AE3&lt;=Inputs!$E$88*12),INDEX(Capex!$C$19:$E$19,1,Inputs!$E$17)/MAX(Inputs!$E$88,1)/12,0)+IF(AND(Inputs!$E$89&gt;0,AE3&lt;=Inputs!$E$89*12),INDEX(Capex!$C$20:$E$20,1,Inputs!$E$17)/MAX(Inputs!$E$89,1)/12,0)+IF(AND(Inputs!$E$90&gt;0,AE3&lt;=Inputs!$E$90*12),INDEX(Capex!$C$21:$E$21,1,Inputs!$E$17)/MAX(Inputs!$E$90,1)/12,0)+IF(AND(Inputs!$E$91&gt;0,AE3&lt;=Inputs!$E$91*12),INDEX(Capex!$C$22:$E$22,1,Inputs!$E$17)/MAX(Inputs!$E$91,1)/12,0)+IF(AND(Inputs!$E$92&gt;0,AE3&lt;=Inputs!$E$92*12),INDEX(Capex!$C$23:$E$23,1,Inputs!$E$17)/MAX(Inputs!$E$92,1)/12,0)+IF(AND(Inputs!$E$93&gt;0,AE3&lt;=Inputs!$E$93*12),INDEX(Capex!$C$24:$E$24,1,Inputs!$E$17)/MAX(Inputs!$E$93,1)/12,0)+IF(AND(Inputs!$E$94&gt;0,AE3&lt;=Inputs!$E$94*12),INDEX(Capex!$C$25:$E$25,1,Inputs!$E$17)/MAX(Inputs!$E$94,1)/12,0)</f>
        <v/>
      </c>
      <c r="AF28" s="3">
        <f>IF(AND(Inputs!$E$88&gt;0,AF3&lt;=Inputs!$E$88*12),INDEX(Capex!$C$19:$E$19,1,Inputs!$E$17)/MAX(Inputs!$E$88,1)/12,0)+IF(AND(Inputs!$E$89&gt;0,AF3&lt;=Inputs!$E$89*12),INDEX(Capex!$C$20:$E$20,1,Inputs!$E$17)/MAX(Inputs!$E$89,1)/12,0)+IF(AND(Inputs!$E$90&gt;0,AF3&lt;=Inputs!$E$90*12),INDEX(Capex!$C$21:$E$21,1,Inputs!$E$17)/MAX(Inputs!$E$90,1)/12,0)+IF(AND(Inputs!$E$91&gt;0,AF3&lt;=Inputs!$E$91*12),INDEX(Capex!$C$22:$E$22,1,Inputs!$E$17)/MAX(Inputs!$E$91,1)/12,0)+IF(AND(Inputs!$E$92&gt;0,AF3&lt;=Inputs!$E$92*12),INDEX(Capex!$C$23:$E$23,1,Inputs!$E$17)/MAX(Inputs!$E$92,1)/12,0)+IF(AND(Inputs!$E$93&gt;0,AF3&lt;=Inputs!$E$93*12),INDEX(Capex!$C$24:$E$24,1,Inputs!$E$17)/MAX(Inputs!$E$93,1)/12,0)+IF(AND(Inputs!$E$94&gt;0,AF3&lt;=Inputs!$E$94*12),INDEX(Capex!$C$25:$E$25,1,Inputs!$E$17)/MAX(Inputs!$E$94,1)/12,0)</f>
        <v/>
      </c>
      <c r="AG28" s="3">
        <f>IF(AND(Inputs!$E$88&gt;0,AG3&lt;=Inputs!$E$88*12),INDEX(Capex!$C$19:$E$19,1,Inputs!$E$17)/MAX(Inputs!$E$88,1)/12,0)+IF(AND(Inputs!$E$89&gt;0,AG3&lt;=Inputs!$E$89*12),INDEX(Capex!$C$20:$E$20,1,Inputs!$E$17)/MAX(Inputs!$E$89,1)/12,0)+IF(AND(Inputs!$E$90&gt;0,AG3&lt;=Inputs!$E$90*12),INDEX(Capex!$C$21:$E$21,1,Inputs!$E$17)/MAX(Inputs!$E$90,1)/12,0)+IF(AND(Inputs!$E$91&gt;0,AG3&lt;=Inputs!$E$91*12),INDEX(Capex!$C$22:$E$22,1,Inputs!$E$17)/MAX(Inputs!$E$91,1)/12,0)+IF(AND(Inputs!$E$92&gt;0,AG3&lt;=Inputs!$E$92*12),INDEX(Capex!$C$23:$E$23,1,Inputs!$E$17)/MAX(Inputs!$E$92,1)/12,0)+IF(AND(Inputs!$E$93&gt;0,AG3&lt;=Inputs!$E$93*12),INDEX(Capex!$C$24:$E$24,1,Inputs!$E$17)/MAX(Inputs!$E$93,1)/12,0)+IF(AND(Inputs!$E$94&gt;0,AG3&lt;=Inputs!$E$94*12),INDEX(Capex!$C$25:$E$25,1,Inputs!$E$17)/MAX(Inputs!$E$94,1)/12,0)</f>
        <v/>
      </c>
      <c r="AH28" s="3">
        <f>IF(AND(Inputs!$E$88&gt;0,AH3&lt;=Inputs!$E$88*12),INDEX(Capex!$C$19:$E$19,1,Inputs!$E$17)/MAX(Inputs!$E$88,1)/12,0)+IF(AND(Inputs!$E$89&gt;0,AH3&lt;=Inputs!$E$89*12),INDEX(Capex!$C$20:$E$20,1,Inputs!$E$17)/MAX(Inputs!$E$89,1)/12,0)+IF(AND(Inputs!$E$90&gt;0,AH3&lt;=Inputs!$E$90*12),INDEX(Capex!$C$21:$E$21,1,Inputs!$E$17)/MAX(Inputs!$E$90,1)/12,0)+IF(AND(Inputs!$E$91&gt;0,AH3&lt;=Inputs!$E$91*12),INDEX(Capex!$C$22:$E$22,1,Inputs!$E$17)/MAX(Inputs!$E$91,1)/12,0)+IF(AND(Inputs!$E$92&gt;0,AH3&lt;=Inputs!$E$92*12),INDEX(Capex!$C$23:$E$23,1,Inputs!$E$17)/MAX(Inputs!$E$92,1)/12,0)+IF(AND(Inputs!$E$93&gt;0,AH3&lt;=Inputs!$E$93*12),INDEX(Capex!$C$24:$E$24,1,Inputs!$E$17)/MAX(Inputs!$E$93,1)/12,0)+IF(AND(Inputs!$E$94&gt;0,AH3&lt;=Inputs!$E$94*12),INDEX(Capex!$C$25:$E$25,1,Inputs!$E$17)/MAX(Inputs!$E$94,1)/12,0)</f>
        <v/>
      </c>
      <c r="AI28" s="3">
        <f>IF(AND(Inputs!$E$88&gt;0,AI3&lt;=Inputs!$E$88*12),INDEX(Capex!$C$19:$E$19,1,Inputs!$E$17)/MAX(Inputs!$E$88,1)/12,0)+IF(AND(Inputs!$E$89&gt;0,AI3&lt;=Inputs!$E$89*12),INDEX(Capex!$C$20:$E$20,1,Inputs!$E$17)/MAX(Inputs!$E$89,1)/12,0)+IF(AND(Inputs!$E$90&gt;0,AI3&lt;=Inputs!$E$90*12),INDEX(Capex!$C$21:$E$21,1,Inputs!$E$17)/MAX(Inputs!$E$90,1)/12,0)+IF(AND(Inputs!$E$91&gt;0,AI3&lt;=Inputs!$E$91*12),INDEX(Capex!$C$22:$E$22,1,Inputs!$E$17)/MAX(Inputs!$E$91,1)/12,0)+IF(AND(Inputs!$E$92&gt;0,AI3&lt;=Inputs!$E$92*12),INDEX(Capex!$C$23:$E$23,1,Inputs!$E$17)/MAX(Inputs!$E$92,1)/12,0)+IF(AND(Inputs!$E$93&gt;0,AI3&lt;=Inputs!$E$93*12),INDEX(Capex!$C$24:$E$24,1,Inputs!$E$17)/MAX(Inputs!$E$93,1)/12,0)+IF(AND(Inputs!$E$94&gt;0,AI3&lt;=Inputs!$E$94*12),INDEX(Capex!$C$25:$E$25,1,Inputs!$E$17)/MAX(Inputs!$E$94,1)/12,0)</f>
        <v/>
      </c>
      <c r="AJ28" s="3">
        <f>IF(AND(Inputs!$E$88&gt;0,AJ3&lt;=Inputs!$E$88*12),INDEX(Capex!$C$19:$E$19,1,Inputs!$E$17)/MAX(Inputs!$E$88,1)/12,0)+IF(AND(Inputs!$E$89&gt;0,AJ3&lt;=Inputs!$E$89*12),INDEX(Capex!$C$20:$E$20,1,Inputs!$E$17)/MAX(Inputs!$E$89,1)/12,0)+IF(AND(Inputs!$E$90&gt;0,AJ3&lt;=Inputs!$E$90*12),INDEX(Capex!$C$21:$E$21,1,Inputs!$E$17)/MAX(Inputs!$E$90,1)/12,0)+IF(AND(Inputs!$E$91&gt;0,AJ3&lt;=Inputs!$E$91*12),INDEX(Capex!$C$22:$E$22,1,Inputs!$E$17)/MAX(Inputs!$E$91,1)/12,0)+IF(AND(Inputs!$E$92&gt;0,AJ3&lt;=Inputs!$E$92*12),INDEX(Capex!$C$23:$E$23,1,Inputs!$E$17)/MAX(Inputs!$E$92,1)/12,0)+IF(AND(Inputs!$E$93&gt;0,AJ3&lt;=Inputs!$E$93*12),INDEX(Capex!$C$24:$E$24,1,Inputs!$E$17)/MAX(Inputs!$E$93,1)/12,0)+IF(AND(Inputs!$E$94&gt;0,AJ3&lt;=Inputs!$E$94*12),INDEX(Capex!$C$25:$E$25,1,Inputs!$E$17)/MAX(Inputs!$E$94,1)/12,0)</f>
        <v/>
      </c>
      <c r="AK28" s="3">
        <f>IF(AND(Inputs!$E$88&gt;0,AK3&lt;=Inputs!$E$88*12),INDEX(Capex!$C$19:$E$19,1,Inputs!$E$17)/MAX(Inputs!$E$88,1)/12,0)+IF(AND(Inputs!$E$89&gt;0,AK3&lt;=Inputs!$E$89*12),INDEX(Capex!$C$20:$E$20,1,Inputs!$E$17)/MAX(Inputs!$E$89,1)/12,0)+IF(AND(Inputs!$E$90&gt;0,AK3&lt;=Inputs!$E$90*12),INDEX(Capex!$C$21:$E$21,1,Inputs!$E$17)/MAX(Inputs!$E$90,1)/12,0)+IF(AND(Inputs!$E$91&gt;0,AK3&lt;=Inputs!$E$91*12),INDEX(Capex!$C$22:$E$22,1,Inputs!$E$17)/MAX(Inputs!$E$91,1)/12,0)+IF(AND(Inputs!$E$92&gt;0,AK3&lt;=Inputs!$E$92*12),INDEX(Capex!$C$23:$E$23,1,Inputs!$E$17)/MAX(Inputs!$E$92,1)/12,0)+IF(AND(Inputs!$E$93&gt;0,AK3&lt;=Inputs!$E$93*12),INDEX(Capex!$C$24:$E$24,1,Inputs!$E$17)/MAX(Inputs!$E$93,1)/12,0)+IF(AND(Inputs!$E$94&gt;0,AK3&lt;=Inputs!$E$94*12),INDEX(Capex!$C$25:$E$25,1,Inputs!$E$17)/MAX(Inputs!$E$94,1)/12,0)</f>
        <v/>
      </c>
      <c r="AL28" s="3">
        <f>IF(AND(Inputs!$E$88&gt;0,AL3&lt;=Inputs!$E$88*12),INDEX(Capex!$C$19:$E$19,1,Inputs!$E$17)/MAX(Inputs!$E$88,1)/12,0)+IF(AND(Inputs!$E$89&gt;0,AL3&lt;=Inputs!$E$89*12),INDEX(Capex!$C$20:$E$20,1,Inputs!$E$17)/MAX(Inputs!$E$89,1)/12,0)+IF(AND(Inputs!$E$90&gt;0,AL3&lt;=Inputs!$E$90*12),INDEX(Capex!$C$21:$E$21,1,Inputs!$E$17)/MAX(Inputs!$E$90,1)/12,0)+IF(AND(Inputs!$E$91&gt;0,AL3&lt;=Inputs!$E$91*12),INDEX(Capex!$C$22:$E$22,1,Inputs!$E$17)/MAX(Inputs!$E$91,1)/12,0)+IF(AND(Inputs!$E$92&gt;0,AL3&lt;=Inputs!$E$92*12),INDEX(Capex!$C$23:$E$23,1,Inputs!$E$17)/MAX(Inputs!$E$92,1)/12,0)+IF(AND(Inputs!$E$93&gt;0,AL3&lt;=Inputs!$E$93*12),INDEX(Capex!$C$24:$E$24,1,Inputs!$E$17)/MAX(Inputs!$E$93,1)/12,0)+IF(AND(Inputs!$E$94&gt;0,AL3&lt;=Inputs!$E$94*12),INDEX(Capex!$C$25:$E$25,1,Inputs!$E$17)/MAX(Inputs!$E$94,1)/12,0)</f>
        <v/>
      </c>
      <c r="AM28" s="3">
        <f>IF(AND(Inputs!$E$88&gt;0,AM3&lt;=Inputs!$E$88*12),INDEX(Capex!$C$19:$E$19,1,Inputs!$E$17)/MAX(Inputs!$E$88,1)/12,0)+IF(AND(Inputs!$E$89&gt;0,AM3&lt;=Inputs!$E$89*12),INDEX(Capex!$C$20:$E$20,1,Inputs!$E$17)/MAX(Inputs!$E$89,1)/12,0)+IF(AND(Inputs!$E$90&gt;0,AM3&lt;=Inputs!$E$90*12),INDEX(Capex!$C$21:$E$21,1,Inputs!$E$17)/MAX(Inputs!$E$90,1)/12,0)+IF(AND(Inputs!$E$91&gt;0,AM3&lt;=Inputs!$E$91*12),INDEX(Capex!$C$22:$E$22,1,Inputs!$E$17)/MAX(Inputs!$E$91,1)/12,0)+IF(AND(Inputs!$E$92&gt;0,AM3&lt;=Inputs!$E$92*12),INDEX(Capex!$C$23:$E$23,1,Inputs!$E$17)/MAX(Inputs!$E$92,1)/12,0)+IF(AND(Inputs!$E$93&gt;0,AM3&lt;=Inputs!$E$93*12),INDEX(Capex!$C$24:$E$24,1,Inputs!$E$17)/MAX(Inputs!$E$93,1)/12,0)+IF(AND(Inputs!$E$94&gt;0,AM3&lt;=Inputs!$E$94*12),INDEX(Capex!$C$25:$E$25,1,Inputs!$E$17)/MAX(Inputs!$E$94,1)/12,0)</f>
        <v/>
      </c>
      <c r="AN28" s="3">
        <f>IF(AND(Inputs!$E$88&gt;0,AN3&lt;=Inputs!$E$88*12),INDEX(Capex!$C$19:$E$19,1,Inputs!$E$17)/MAX(Inputs!$E$88,1)/12,0)+IF(AND(Inputs!$E$89&gt;0,AN3&lt;=Inputs!$E$89*12),INDEX(Capex!$C$20:$E$20,1,Inputs!$E$17)/MAX(Inputs!$E$89,1)/12,0)+IF(AND(Inputs!$E$90&gt;0,AN3&lt;=Inputs!$E$90*12),INDEX(Capex!$C$21:$E$21,1,Inputs!$E$17)/MAX(Inputs!$E$90,1)/12,0)+IF(AND(Inputs!$E$91&gt;0,AN3&lt;=Inputs!$E$91*12),INDEX(Capex!$C$22:$E$22,1,Inputs!$E$17)/MAX(Inputs!$E$91,1)/12,0)+IF(AND(Inputs!$E$92&gt;0,AN3&lt;=Inputs!$E$92*12),INDEX(Capex!$C$23:$E$23,1,Inputs!$E$17)/MAX(Inputs!$E$92,1)/12,0)+IF(AND(Inputs!$E$93&gt;0,AN3&lt;=Inputs!$E$93*12),INDEX(Capex!$C$24:$E$24,1,Inputs!$E$17)/MAX(Inputs!$E$93,1)/12,0)+IF(AND(Inputs!$E$94&gt;0,AN3&lt;=Inputs!$E$94*12),INDEX(Capex!$C$25:$E$25,1,Inputs!$E$17)/MAX(Inputs!$E$94,1)/12,0)</f>
        <v/>
      </c>
      <c r="AO28" s="3">
        <f>IF(AND(Inputs!$E$88&gt;0,AO3&lt;=Inputs!$E$88*12),INDEX(Capex!$C$19:$E$19,1,Inputs!$E$17)/MAX(Inputs!$E$88,1)/12,0)+IF(AND(Inputs!$E$89&gt;0,AO3&lt;=Inputs!$E$89*12),INDEX(Capex!$C$20:$E$20,1,Inputs!$E$17)/MAX(Inputs!$E$89,1)/12,0)+IF(AND(Inputs!$E$90&gt;0,AO3&lt;=Inputs!$E$90*12),INDEX(Capex!$C$21:$E$21,1,Inputs!$E$17)/MAX(Inputs!$E$90,1)/12,0)+IF(AND(Inputs!$E$91&gt;0,AO3&lt;=Inputs!$E$91*12),INDEX(Capex!$C$22:$E$22,1,Inputs!$E$17)/MAX(Inputs!$E$91,1)/12,0)+IF(AND(Inputs!$E$92&gt;0,AO3&lt;=Inputs!$E$92*12),INDEX(Capex!$C$23:$E$23,1,Inputs!$E$17)/MAX(Inputs!$E$92,1)/12,0)+IF(AND(Inputs!$E$93&gt;0,AO3&lt;=Inputs!$E$93*12),INDEX(Capex!$C$24:$E$24,1,Inputs!$E$17)/MAX(Inputs!$E$93,1)/12,0)+IF(AND(Inputs!$E$94&gt;0,AO3&lt;=Inputs!$E$94*12),INDEX(Capex!$C$25:$E$25,1,Inputs!$E$17)/MAX(Inputs!$E$94,1)/12,0)</f>
        <v/>
      </c>
      <c r="AP28" s="3">
        <f>IF(AND(Inputs!$E$88&gt;0,AP3&lt;=Inputs!$E$88*12),INDEX(Capex!$C$19:$E$19,1,Inputs!$E$17)/MAX(Inputs!$E$88,1)/12,0)+IF(AND(Inputs!$E$89&gt;0,AP3&lt;=Inputs!$E$89*12),INDEX(Capex!$C$20:$E$20,1,Inputs!$E$17)/MAX(Inputs!$E$89,1)/12,0)+IF(AND(Inputs!$E$90&gt;0,AP3&lt;=Inputs!$E$90*12),INDEX(Capex!$C$21:$E$21,1,Inputs!$E$17)/MAX(Inputs!$E$90,1)/12,0)+IF(AND(Inputs!$E$91&gt;0,AP3&lt;=Inputs!$E$91*12),INDEX(Capex!$C$22:$E$22,1,Inputs!$E$17)/MAX(Inputs!$E$91,1)/12,0)+IF(AND(Inputs!$E$92&gt;0,AP3&lt;=Inputs!$E$92*12),INDEX(Capex!$C$23:$E$23,1,Inputs!$E$17)/MAX(Inputs!$E$92,1)/12,0)+IF(AND(Inputs!$E$93&gt;0,AP3&lt;=Inputs!$E$93*12),INDEX(Capex!$C$24:$E$24,1,Inputs!$E$17)/MAX(Inputs!$E$93,1)/12,0)+IF(AND(Inputs!$E$94&gt;0,AP3&lt;=Inputs!$E$94*12),INDEX(Capex!$C$25:$E$25,1,Inputs!$E$17)/MAX(Inputs!$E$94,1)/12,0)</f>
        <v/>
      </c>
      <c r="AQ28" s="3">
        <f>IF(AND(Inputs!$E$88&gt;0,AQ3&lt;=Inputs!$E$88*12),INDEX(Capex!$C$19:$E$19,1,Inputs!$E$17)/MAX(Inputs!$E$88,1)/12,0)+IF(AND(Inputs!$E$89&gt;0,AQ3&lt;=Inputs!$E$89*12),INDEX(Capex!$C$20:$E$20,1,Inputs!$E$17)/MAX(Inputs!$E$89,1)/12,0)+IF(AND(Inputs!$E$90&gt;0,AQ3&lt;=Inputs!$E$90*12),INDEX(Capex!$C$21:$E$21,1,Inputs!$E$17)/MAX(Inputs!$E$90,1)/12,0)+IF(AND(Inputs!$E$91&gt;0,AQ3&lt;=Inputs!$E$91*12),INDEX(Capex!$C$22:$E$22,1,Inputs!$E$17)/MAX(Inputs!$E$91,1)/12,0)+IF(AND(Inputs!$E$92&gt;0,AQ3&lt;=Inputs!$E$92*12),INDEX(Capex!$C$23:$E$23,1,Inputs!$E$17)/MAX(Inputs!$E$92,1)/12,0)+IF(AND(Inputs!$E$93&gt;0,AQ3&lt;=Inputs!$E$93*12),INDEX(Capex!$C$24:$E$24,1,Inputs!$E$17)/MAX(Inputs!$E$93,1)/12,0)+IF(AND(Inputs!$E$94&gt;0,AQ3&lt;=Inputs!$E$94*12),INDEX(Capex!$C$25:$E$25,1,Inputs!$E$17)/MAX(Inputs!$E$94,1)/12,0)</f>
        <v/>
      </c>
      <c r="AR28" s="3">
        <f>IF(AND(Inputs!$E$88&gt;0,AR3&lt;=Inputs!$E$88*12),INDEX(Capex!$C$19:$E$19,1,Inputs!$E$17)/MAX(Inputs!$E$88,1)/12,0)+IF(AND(Inputs!$E$89&gt;0,AR3&lt;=Inputs!$E$89*12),INDEX(Capex!$C$20:$E$20,1,Inputs!$E$17)/MAX(Inputs!$E$89,1)/12,0)+IF(AND(Inputs!$E$90&gt;0,AR3&lt;=Inputs!$E$90*12),INDEX(Capex!$C$21:$E$21,1,Inputs!$E$17)/MAX(Inputs!$E$90,1)/12,0)+IF(AND(Inputs!$E$91&gt;0,AR3&lt;=Inputs!$E$91*12),INDEX(Capex!$C$22:$E$22,1,Inputs!$E$17)/MAX(Inputs!$E$91,1)/12,0)+IF(AND(Inputs!$E$92&gt;0,AR3&lt;=Inputs!$E$92*12),INDEX(Capex!$C$23:$E$23,1,Inputs!$E$17)/MAX(Inputs!$E$92,1)/12,0)+IF(AND(Inputs!$E$93&gt;0,AR3&lt;=Inputs!$E$93*12),INDEX(Capex!$C$24:$E$24,1,Inputs!$E$17)/MAX(Inputs!$E$93,1)/12,0)+IF(AND(Inputs!$E$94&gt;0,AR3&lt;=Inputs!$E$94*12),INDEX(Capex!$C$25:$E$25,1,Inputs!$E$17)/MAX(Inputs!$E$94,1)/12,0)</f>
        <v/>
      </c>
      <c r="AS28" s="3">
        <f>IF(AND(Inputs!$E$88&gt;0,AS3&lt;=Inputs!$E$88*12),INDEX(Capex!$C$19:$E$19,1,Inputs!$E$17)/MAX(Inputs!$E$88,1)/12,0)+IF(AND(Inputs!$E$89&gt;0,AS3&lt;=Inputs!$E$89*12),INDEX(Capex!$C$20:$E$20,1,Inputs!$E$17)/MAX(Inputs!$E$89,1)/12,0)+IF(AND(Inputs!$E$90&gt;0,AS3&lt;=Inputs!$E$90*12),INDEX(Capex!$C$21:$E$21,1,Inputs!$E$17)/MAX(Inputs!$E$90,1)/12,0)+IF(AND(Inputs!$E$91&gt;0,AS3&lt;=Inputs!$E$91*12),INDEX(Capex!$C$22:$E$22,1,Inputs!$E$17)/MAX(Inputs!$E$91,1)/12,0)+IF(AND(Inputs!$E$92&gt;0,AS3&lt;=Inputs!$E$92*12),INDEX(Capex!$C$23:$E$23,1,Inputs!$E$17)/MAX(Inputs!$E$92,1)/12,0)+IF(AND(Inputs!$E$93&gt;0,AS3&lt;=Inputs!$E$93*12),INDEX(Capex!$C$24:$E$24,1,Inputs!$E$17)/MAX(Inputs!$E$93,1)/12,0)+IF(AND(Inputs!$E$94&gt;0,AS3&lt;=Inputs!$E$94*12),INDEX(Capex!$C$25:$E$25,1,Inputs!$E$17)/MAX(Inputs!$E$94,1)/12,0)</f>
        <v/>
      </c>
      <c r="AT28" s="3">
        <f>IF(AND(Inputs!$E$88&gt;0,AT3&lt;=Inputs!$E$88*12),INDEX(Capex!$C$19:$E$19,1,Inputs!$E$17)/MAX(Inputs!$E$88,1)/12,0)+IF(AND(Inputs!$E$89&gt;0,AT3&lt;=Inputs!$E$89*12),INDEX(Capex!$C$20:$E$20,1,Inputs!$E$17)/MAX(Inputs!$E$89,1)/12,0)+IF(AND(Inputs!$E$90&gt;0,AT3&lt;=Inputs!$E$90*12),INDEX(Capex!$C$21:$E$21,1,Inputs!$E$17)/MAX(Inputs!$E$90,1)/12,0)+IF(AND(Inputs!$E$91&gt;0,AT3&lt;=Inputs!$E$91*12),INDEX(Capex!$C$22:$E$22,1,Inputs!$E$17)/MAX(Inputs!$E$91,1)/12,0)+IF(AND(Inputs!$E$92&gt;0,AT3&lt;=Inputs!$E$92*12),INDEX(Capex!$C$23:$E$23,1,Inputs!$E$17)/MAX(Inputs!$E$92,1)/12,0)+IF(AND(Inputs!$E$93&gt;0,AT3&lt;=Inputs!$E$93*12),INDEX(Capex!$C$24:$E$24,1,Inputs!$E$17)/MAX(Inputs!$E$93,1)/12,0)+IF(AND(Inputs!$E$94&gt;0,AT3&lt;=Inputs!$E$94*12),INDEX(Capex!$C$25:$E$25,1,Inputs!$E$17)/MAX(Inputs!$E$94,1)/12,0)</f>
        <v/>
      </c>
      <c r="AU28" s="3">
        <f>IF(AND(Inputs!$E$88&gt;0,AU3&lt;=Inputs!$E$88*12),INDEX(Capex!$C$19:$E$19,1,Inputs!$E$17)/MAX(Inputs!$E$88,1)/12,0)+IF(AND(Inputs!$E$89&gt;0,AU3&lt;=Inputs!$E$89*12),INDEX(Capex!$C$20:$E$20,1,Inputs!$E$17)/MAX(Inputs!$E$89,1)/12,0)+IF(AND(Inputs!$E$90&gt;0,AU3&lt;=Inputs!$E$90*12),INDEX(Capex!$C$21:$E$21,1,Inputs!$E$17)/MAX(Inputs!$E$90,1)/12,0)+IF(AND(Inputs!$E$91&gt;0,AU3&lt;=Inputs!$E$91*12),INDEX(Capex!$C$22:$E$22,1,Inputs!$E$17)/MAX(Inputs!$E$91,1)/12,0)+IF(AND(Inputs!$E$92&gt;0,AU3&lt;=Inputs!$E$92*12),INDEX(Capex!$C$23:$E$23,1,Inputs!$E$17)/MAX(Inputs!$E$92,1)/12,0)+IF(AND(Inputs!$E$93&gt;0,AU3&lt;=Inputs!$E$93*12),INDEX(Capex!$C$24:$E$24,1,Inputs!$E$17)/MAX(Inputs!$E$93,1)/12,0)+IF(AND(Inputs!$E$94&gt;0,AU3&lt;=Inputs!$E$94*12),INDEX(Capex!$C$25:$E$25,1,Inputs!$E$17)/MAX(Inputs!$E$94,1)/12,0)</f>
        <v/>
      </c>
      <c r="AV28" s="3">
        <f>IF(AND(Inputs!$E$88&gt;0,AV3&lt;=Inputs!$E$88*12),INDEX(Capex!$C$19:$E$19,1,Inputs!$E$17)/MAX(Inputs!$E$88,1)/12,0)+IF(AND(Inputs!$E$89&gt;0,AV3&lt;=Inputs!$E$89*12),INDEX(Capex!$C$20:$E$20,1,Inputs!$E$17)/MAX(Inputs!$E$89,1)/12,0)+IF(AND(Inputs!$E$90&gt;0,AV3&lt;=Inputs!$E$90*12),INDEX(Capex!$C$21:$E$21,1,Inputs!$E$17)/MAX(Inputs!$E$90,1)/12,0)+IF(AND(Inputs!$E$91&gt;0,AV3&lt;=Inputs!$E$91*12),INDEX(Capex!$C$22:$E$22,1,Inputs!$E$17)/MAX(Inputs!$E$91,1)/12,0)+IF(AND(Inputs!$E$92&gt;0,AV3&lt;=Inputs!$E$92*12),INDEX(Capex!$C$23:$E$23,1,Inputs!$E$17)/MAX(Inputs!$E$92,1)/12,0)+IF(AND(Inputs!$E$93&gt;0,AV3&lt;=Inputs!$E$93*12),INDEX(Capex!$C$24:$E$24,1,Inputs!$E$17)/MAX(Inputs!$E$93,1)/12,0)+IF(AND(Inputs!$E$94&gt;0,AV3&lt;=Inputs!$E$94*12),INDEX(Capex!$C$25:$E$25,1,Inputs!$E$17)/MAX(Inputs!$E$94,1)/12,0)</f>
        <v/>
      </c>
      <c r="AW28" s="3">
        <f>IF(AND(Inputs!$E$88&gt;0,AW3&lt;=Inputs!$E$88*12),INDEX(Capex!$C$19:$E$19,1,Inputs!$E$17)/MAX(Inputs!$E$88,1)/12,0)+IF(AND(Inputs!$E$89&gt;0,AW3&lt;=Inputs!$E$89*12),INDEX(Capex!$C$20:$E$20,1,Inputs!$E$17)/MAX(Inputs!$E$89,1)/12,0)+IF(AND(Inputs!$E$90&gt;0,AW3&lt;=Inputs!$E$90*12),INDEX(Capex!$C$21:$E$21,1,Inputs!$E$17)/MAX(Inputs!$E$90,1)/12,0)+IF(AND(Inputs!$E$91&gt;0,AW3&lt;=Inputs!$E$91*12),INDEX(Capex!$C$22:$E$22,1,Inputs!$E$17)/MAX(Inputs!$E$91,1)/12,0)+IF(AND(Inputs!$E$92&gt;0,AW3&lt;=Inputs!$E$92*12),INDEX(Capex!$C$23:$E$23,1,Inputs!$E$17)/MAX(Inputs!$E$92,1)/12,0)+IF(AND(Inputs!$E$93&gt;0,AW3&lt;=Inputs!$E$93*12),INDEX(Capex!$C$24:$E$24,1,Inputs!$E$17)/MAX(Inputs!$E$93,1)/12,0)+IF(AND(Inputs!$E$94&gt;0,AW3&lt;=Inputs!$E$94*12),INDEX(Capex!$C$25:$E$25,1,Inputs!$E$17)/MAX(Inputs!$E$94,1)/12,0)</f>
        <v/>
      </c>
      <c r="AX28" s="3">
        <f>IF(AND(Inputs!$E$88&gt;0,AX3&lt;=Inputs!$E$88*12),INDEX(Capex!$C$19:$E$19,1,Inputs!$E$17)/MAX(Inputs!$E$88,1)/12,0)+IF(AND(Inputs!$E$89&gt;0,AX3&lt;=Inputs!$E$89*12),INDEX(Capex!$C$20:$E$20,1,Inputs!$E$17)/MAX(Inputs!$E$89,1)/12,0)+IF(AND(Inputs!$E$90&gt;0,AX3&lt;=Inputs!$E$90*12),INDEX(Capex!$C$21:$E$21,1,Inputs!$E$17)/MAX(Inputs!$E$90,1)/12,0)+IF(AND(Inputs!$E$91&gt;0,AX3&lt;=Inputs!$E$91*12),INDEX(Capex!$C$22:$E$22,1,Inputs!$E$17)/MAX(Inputs!$E$91,1)/12,0)+IF(AND(Inputs!$E$92&gt;0,AX3&lt;=Inputs!$E$92*12),INDEX(Capex!$C$23:$E$23,1,Inputs!$E$17)/MAX(Inputs!$E$92,1)/12,0)+IF(AND(Inputs!$E$93&gt;0,AX3&lt;=Inputs!$E$93*12),INDEX(Capex!$C$24:$E$24,1,Inputs!$E$17)/MAX(Inputs!$E$93,1)/12,0)+IF(AND(Inputs!$E$94&gt;0,AX3&lt;=Inputs!$E$94*12),INDEX(Capex!$C$25:$E$25,1,Inputs!$E$17)/MAX(Inputs!$E$94,1)/12,0)</f>
        <v/>
      </c>
      <c r="AY28" s="3">
        <f>IF(AND(Inputs!$E$88&gt;0,AY3&lt;=Inputs!$E$88*12),INDEX(Capex!$C$19:$E$19,1,Inputs!$E$17)/MAX(Inputs!$E$88,1)/12,0)+IF(AND(Inputs!$E$89&gt;0,AY3&lt;=Inputs!$E$89*12),INDEX(Capex!$C$20:$E$20,1,Inputs!$E$17)/MAX(Inputs!$E$89,1)/12,0)+IF(AND(Inputs!$E$90&gt;0,AY3&lt;=Inputs!$E$90*12),INDEX(Capex!$C$21:$E$21,1,Inputs!$E$17)/MAX(Inputs!$E$90,1)/12,0)+IF(AND(Inputs!$E$91&gt;0,AY3&lt;=Inputs!$E$91*12),INDEX(Capex!$C$22:$E$22,1,Inputs!$E$17)/MAX(Inputs!$E$91,1)/12,0)+IF(AND(Inputs!$E$92&gt;0,AY3&lt;=Inputs!$E$92*12),INDEX(Capex!$C$23:$E$23,1,Inputs!$E$17)/MAX(Inputs!$E$92,1)/12,0)+IF(AND(Inputs!$E$93&gt;0,AY3&lt;=Inputs!$E$93*12),INDEX(Capex!$C$24:$E$24,1,Inputs!$E$17)/MAX(Inputs!$E$93,1)/12,0)+IF(AND(Inputs!$E$94&gt;0,AY3&lt;=Inputs!$E$94*12),INDEX(Capex!$C$25:$E$25,1,Inputs!$E$17)/MAX(Inputs!$E$94,1)/12,0)</f>
        <v/>
      </c>
      <c r="AZ28" s="3">
        <f>IF(AND(Inputs!$E$88&gt;0,AZ3&lt;=Inputs!$E$88*12),INDEX(Capex!$C$19:$E$19,1,Inputs!$E$17)/MAX(Inputs!$E$88,1)/12,0)+IF(AND(Inputs!$E$89&gt;0,AZ3&lt;=Inputs!$E$89*12),INDEX(Capex!$C$20:$E$20,1,Inputs!$E$17)/MAX(Inputs!$E$89,1)/12,0)+IF(AND(Inputs!$E$90&gt;0,AZ3&lt;=Inputs!$E$90*12),INDEX(Capex!$C$21:$E$21,1,Inputs!$E$17)/MAX(Inputs!$E$90,1)/12,0)+IF(AND(Inputs!$E$91&gt;0,AZ3&lt;=Inputs!$E$91*12),INDEX(Capex!$C$22:$E$22,1,Inputs!$E$17)/MAX(Inputs!$E$91,1)/12,0)+IF(AND(Inputs!$E$92&gt;0,AZ3&lt;=Inputs!$E$92*12),INDEX(Capex!$C$23:$E$23,1,Inputs!$E$17)/MAX(Inputs!$E$92,1)/12,0)+IF(AND(Inputs!$E$93&gt;0,AZ3&lt;=Inputs!$E$93*12),INDEX(Capex!$C$24:$E$24,1,Inputs!$E$17)/MAX(Inputs!$E$93,1)/12,0)+IF(AND(Inputs!$E$94&gt;0,AZ3&lt;=Inputs!$E$94*12),INDEX(Capex!$C$25:$E$25,1,Inputs!$E$17)/MAX(Inputs!$E$94,1)/12,0)</f>
        <v/>
      </c>
      <c r="BA28" s="3">
        <f>IF(AND(Inputs!$E$88&gt;0,BA3&lt;=Inputs!$E$88*12),INDEX(Capex!$C$19:$E$19,1,Inputs!$E$17)/MAX(Inputs!$E$88,1)/12,0)+IF(AND(Inputs!$E$89&gt;0,BA3&lt;=Inputs!$E$89*12),INDEX(Capex!$C$20:$E$20,1,Inputs!$E$17)/MAX(Inputs!$E$89,1)/12,0)+IF(AND(Inputs!$E$90&gt;0,BA3&lt;=Inputs!$E$90*12),INDEX(Capex!$C$21:$E$21,1,Inputs!$E$17)/MAX(Inputs!$E$90,1)/12,0)+IF(AND(Inputs!$E$91&gt;0,BA3&lt;=Inputs!$E$91*12),INDEX(Capex!$C$22:$E$22,1,Inputs!$E$17)/MAX(Inputs!$E$91,1)/12,0)+IF(AND(Inputs!$E$92&gt;0,BA3&lt;=Inputs!$E$92*12),INDEX(Capex!$C$23:$E$23,1,Inputs!$E$17)/MAX(Inputs!$E$92,1)/12,0)+IF(AND(Inputs!$E$93&gt;0,BA3&lt;=Inputs!$E$93*12),INDEX(Capex!$C$24:$E$24,1,Inputs!$E$17)/MAX(Inputs!$E$93,1)/12,0)+IF(AND(Inputs!$E$94&gt;0,BA3&lt;=Inputs!$E$94*12),INDEX(Capex!$C$25:$E$25,1,Inputs!$E$17)/MAX(Inputs!$E$94,1)/12,0)</f>
        <v/>
      </c>
      <c r="BB28" s="3">
        <f>IF(AND(Inputs!$E$88&gt;0,BB3&lt;=Inputs!$E$88*12),INDEX(Capex!$C$19:$E$19,1,Inputs!$E$17)/MAX(Inputs!$E$88,1)/12,0)+IF(AND(Inputs!$E$89&gt;0,BB3&lt;=Inputs!$E$89*12),INDEX(Capex!$C$20:$E$20,1,Inputs!$E$17)/MAX(Inputs!$E$89,1)/12,0)+IF(AND(Inputs!$E$90&gt;0,BB3&lt;=Inputs!$E$90*12),INDEX(Capex!$C$21:$E$21,1,Inputs!$E$17)/MAX(Inputs!$E$90,1)/12,0)+IF(AND(Inputs!$E$91&gt;0,BB3&lt;=Inputs!$E$91*12),INDEX(Capex!$C$22:$E$22,1,Inputs!$E$17)/MAX(Inputs!$E$91,1)/12,0)+IF(AND(Inputs!$E$92&gt;0,BB3&lt;=Inputs!$E$92*12),INDEX(Capex!$C$23:$E$23,1,Inputs!$E$17)/MAX(Inputs!$E$92,1)/12,0)+IF(AND(Inputs!$E$93&gt;0,BB3&lt;=Inputs!$E$93*12),INDEX(Capex!$C$24:$E$24,1,Inputs!$E$17)/MAX(Inputs!$E$93,1)/12,0)+IF(AND(Inputs!$E$94&gt;0,BB3&lt;=Inputs!$E$94*12),INDEX(Capex!$C$25:$E$25,1,Inputs!$E$17)/MAX(Inputs!$E$94,1)/12,0)</f>
        <v/>
      </c>
      <c r="BC28" s="3">
        <f>IF(AND(Inputs!$E$88&gt;0,BC3&lt;=Inputs!$E$88*12),INDEX(Capex!$C$19:$E$19,1,Inputs!$E$17)/MAX(Inputs!$E$88,1)/12,0)+IF(AND(Inputs!$E$89&gt;0,BC3&lt;=Inputs!$E$89*12),INDEX(Capex!$C$20:$E$20,1,Inputs!$E$17)/MAX(Inputs!$E$89,1)/12,0)+IF(AND(Inputs!$E$90&gt;0,BC3&lt;=Inputs!$E$90*12),INDEX(Capex!$C$21:$E$21,1,Inputs!$E$17)/MAX(Inputs!$E$90,1)/12,0)+IF(AND(Inputs!$E$91&gt;0,BC3&lt;=Inputs!$E$91*12),INDEX(Capex!$C$22:$E$22,1,Inputs!$E$17)/MAX(Inputs!$E$91,1)/12,0)+IF(AND(Inputs!$E$92&gt;0,BC3&lt;=Inputs!$E$92*12),INDEX(Capex!$C$23:$E$23,1,Inputs!$E$17)/MAX(Inputs!$E$92,1)/12,0)+IF(AND(Inputs!$E$93&gt;0,BC3&lt;=Inputs!$E$93*12),INDEX(Capex!$C$24:$E$24,1,Inputs!$E$17)/MAX(Inputs!$E$93,1)/12,0)+IF(AND(Inputs!$E$94&gt;0,BC3&lt;=Inputs!$E$94*12),INDEX(Capex!$C$25:$E$25,1,Inputs!$E$17)/MAX(Inputs!$E$94,1)/12,0)</f>
        <v/>
      </c>
      <c r="BD28" s="3">
        <f>IF(AND(Inputs!$E$88&gt;0,BD3&lt;=Inputs!$E$88*12),INDEX(Capex!$C$19:$E$19,1,Inputs!$E$17)/MAX(Inputs!$E$88,1)/12,0)+IF(AND(Inputs!$E$89&gt;0,BD3&lt;=Inputs!$E$89*12),INDEX(Capex!$C$20:$E$20,1,Inputs!$E$17)/MAX(Inputs!$E$89,1)/12,0)+IF(AND(Inputs!$E$90&gt;0,BD3&lt;=Inputs!$E$90*12),INDEX(Capex!$C$21:$E$21,1,Inputs!$E$17)/MAX(Inputs!$E$90,1)/12,0)+IF(AND(Inputs!$E$91&gt;0,BD3&lt;=Inputs!$E$91*12),INDEX(Capex!$C$22:$E$22,1,Inputs!$E$17)/MAX(Inputs!$E$91,1)/12,0)+IF(AND(Inputs!$E$92&gt;0,BD3&lt;=Inputs!$E$92*12),INDEX(Capex!$C$23:$E$23,1,Inputs!$E$17)/MAX(Inputs!$E$92,1)/12,0)+IF(AND(Inputs!$E$93&gt;0,BD3&lt;=Inputs!$E$93*12),INDEX(Capex!$C$24:$E$24,1,Inputs!$E$17)/MAX(Inputs!$E$93,1)/12,0)+IF(AND(Inputs!$E$94&gt;0,BD3&lt;=Inputs!$E$94*12),INDEX(Capex!$C$25:$E$25,1,Inputs!$E$17)/MAX(Inputs!$E$94,1)/12,0)</f>
        <v/>
      </c>
      <c r="BE28" s="3">
        <f>IF(AND(Inputs!$E$88&gt;0,BE3&lt;=Inputs!$E$88*12),INDEX(Capex!$C$19:$E$19,1,Inputs!$E$17)/MAX(Inputs!$E$88,1)/12,0)+IF(AND(Inputs!$E$89&gt;0,BE3&lt;=Inputs!$E$89*12),INDEX(Capex!$C$20:$E$20,1,Inputs!$E$17)/MAX(Inputs!$E$89,1)/12,0)+IF(AND(Inputs!$E$90&gt;0,BE3&lt;=Inputs!$E$90*12),INDEX(Capex!$C$21:$E$21,1,Inputs!$E$17)/MAX(Inputs!$E$90,1)/12,0)+IF(AND(Inputs!$E$91&gt;0,BE3&lt;=Inputs!$E$91*12),INDEX(Capex!$C$22:$E$22,1,Inputs!$E$17)/MAX(Inputs!$E$91,1)/12,0)+IF(AND(Inputs!$E$92&gt;0,BE3&lt;=Inputs!$E$92*12),INDEX(Capex!$C$23:$E$23,1,Inputs!$E$17)/MAX(Inputs!$E$92,1)/12,0)+IF(AND(Inputs!$E$93&gt;0,BE3&lt;=Inputs!$E$93*12),INDEX(Capex!$C$24:$E$24,1,Inputs!$E$17)/MAX(Inputs!$E$93,1)/12,0)+IF(AND(Inputs!$E$94&gt;0,BE3&lt;=Inputs!$E$94*12),INDEX(Capex!$C$25:$E$25,1,Inputs!$E$17)/MAX(Inputs!$E$94,1)/12,0)</f>
        <v/>
      </c>
      <c r="BF28" s="3">
        <f>IF(AND(Inputs!$E$88&gt;0,BF3&lt;=Inputs!$E$88*12),INDEX(Capex!$C$19:$E$19,1,Inputs!$E$17)/MAX(Inputs!$E$88,1)/12,0)+IF(AND(Inputs!$E$89&gt;0,BF3&lt;=Inputs!$E$89*12),INDEX(Capex!$C$20:$E$20,1,Inputs!$E$17)/MAX(Inputs!$E$89,1)/12,0)+IF(AND(Inputs!$E$90&gt;0,BF3&lt;=Inputs!$E$90*12),INDEX(Capex!$C$21:$E$21,1,Inputs!$E$17)/MAX(Inputs!$E$90,1)/12,0)+IF(AND(Inputs!$E$91&gt;0,BF3&lt;=Inputs!$E$91*12),INDEX(Capex!$C$22:$E$22,1,Inputs!$E$17)/MAX(Inputs!$E$91,1)/12,0)+IF(AND(Inputs!$E$92&gt;0,BF3&lt;=Inputs!$E$92*12),INDEX(Capex!$C$23:$E$23,1,Inputs!$E$17)/MAX(Inputs!$E$92,1)/12,0)+IF(AND(Inputs!$E$93&gt;0,BF3&lt;=Inputs!$E$93*12),INDEX(Capex!$C$24:$E$24,1,Inputs!$E$17)/MAX(Inputs!$E$93,1)/12,0)+IF(AND(Inputs!$E$94&gt;0,BF3&lt;=Inputs!$E$94*12),INDEX(Capex!$C$25:$E$25,1,Inputs!$E$17)/MAX(Inputs!$E$94,1)/12,0)</f>
        <v/>
      </c>
      <c r="BG28" s="3">
        <f>IF(AND(Inputs!$E$88&gt;0,BG3&lt;=Inputs!$E$88*12),INDEX(Capex!$C$19:$E$19,1,Inputs!$E$17)/MAX(Inputs!$E$88,1)/12,0)+IF(AND(Inputs!$E$89&gt;0,BG3&lt;=Inputs!$E$89*12),INDEX(Capex!$C$20:$E$20,1,Inputs!$E$17)/MAX(Inputs!$E$89,1)/12,0)+IF(AND(Inputs!$E$90&gt;0,BG3&lt;=Inputs!$E$90*12),INDEX(Capex!$C$21:$E$21,1,Inputs!$E$17)/MAX(Inputs!$E$90,1)/12,0)+IF(AND(Inputs!$E$91&gt;0,BG3&lt;=Inputs!$E$91*12),INDEX(Capex!$C$22:$E$22,1,Inputs!$E$17)/MAX(Inputs!$E$91,1)/12,0)+IF(AND(Inputs!$E$92&gt;0,BG3&lt;=Inputs!$E$92*12),INDEX(Capex!$C$23:$E$23,1,Inputs!$E$17)/MAX(Inputs!$E$92,1)/12,0)+IF(AND(Inputs!$E$93&gt;0,BG3&lt;=Inputs!$E$93*12),INDEX(Capex!$C$24:$E$24,1,Inputs!$E$17)/MAX(Inputs!$E$93,1)/12,0)+IF(AND(Inputs!$E$94&gt;0,BG3&lt;=Inputs!$E$94*12),INDEX(Capex!$C$25:$E$25,1,Inputs!$E$17)/MAX(Inputs!$E$94,1)/12,0)</f>
        <v/>
      </c>
      <c r="BH28" s="3">
        <f>IF(AND(Inputs!$E$88&gt;0,BH3&lt;=Inputs!$E$88*12),INDEX(Capex!$C$19:$E$19,1,Inputs!$E$17)/MAX(Inputs!$E$88,1)/12,0)+IF(AND(Inputs!$E$89&gt;0,BH3&lt;=Inputs!$E$89*12),INDEX(Capex!$C$20:$E$20,1,Inputs!$E$17)/MAX(Inputs!$E$89,1)/12,0)+IF(AND(Inputs!$E$90&gt;0,BH3&lt;=Inputs!$E$90*12),INDEX(Capex!$C$21:$E$21,1,Inputs!$E$17)/MAX(Inputs!$E$90,1)/12,0)+IF(AND(Inputs!$E$91&gt;0,BH3&lt;=Inputs!$E$91*12),INDEX(Capex!$C$22:$E$22,1,Inputs!$E$17)/MAX(Inputs!$E$91,1)/12,0)+IF(AND(Inputs!$E$92&gt;0,BH3&lt;=Inputs!$E$92*12),INDEX(Capex!$C$23:$E$23,1,Inputs!$E$17)/MAX(Inputs!$E$92,1)/12,0)+IF(AND(Inputs!$E$93&gt;0,BH3&lt;=Inputs!$E$93*12),INDEX(Capex!$C$24:$E$24,1,Inputs!$E$17)/MAX(Inputs!$E$93,1)/12,0)+IF(AND(Inputs!$E$94&gt;0,BH3&lt;=Inputs!$E$94*12),INDEX(Capex!$C$25:$E$25,1,Inputs!$E$17)/MAX(Inputs!$E$94,1)/12,0)</f>
        <v/>
      </c>
      <c r="BI28" s="3">
        <f>IF(AND(Inputs!$E$88&gt;0,BI3&lt;=Inputs!$E$88*12),INDEX(Capex!$C$19:$E$19,1,Inputs!$E$17)/MAX(Inputs!$E$88,1)/12,0)+IF(AND(Inputs!$E$89&gt;0,BI3&lt;=Inputs!$E$89*12),INDEX(Capex!$C$20:$E$20,1,Inputs!$E$17)/MAX(Inputs!$E$89,1)/12,0)+IF(AND(Inputs!$E$90&gt;0,BI3&lt;=Inputs!$E$90*12),INDEX(Capex!$C$21:$E$21,1,Inputs!$E$17)/MAX(Inputs!$E$90,1)/12,0)+IF(AND(Inputs!$E$91&gt;0,BI3&lt;=Inputs!$E$91*12),INDEX(Capex!$C$22:$E$22,1,Inputs!$E$17)/MAX(Inputs!$E$91,1)/12,0)+IF(AND(Inputs!$E$92&gt;0,BI3&lt;=Inputs!$E$92*12),INDEX(Capex!$C$23:$E$23,1,Inputs!$E$17)/MAX(Inputs!$E$92,1)/12,0)+IF(AND(Inputs!$E$93&gt;0,BI3&lt;=Inputs!$E$93*12),INDEX(Capex!$C$24:$E$24,1,Inputs!$E$17)/MAX(Inputs!$E$93,1)/12,0)+IF(AND(Inputs!$E$94&gt;0,BI3&lt;=Inputs!$E$94*12),INDEX(Capex!$C$25:$E$25,1,Inputs!$E$17)/MAX(Inputs!$E$94,1)/12,0)</f>
        <v/>
      </c>
      <c r="BJ28" s="3">
        <f>IF(AND(Inputs!$E$88&gt;0,BJ3&lt;=Inputs!$E$88*12),INDEX(Capex!$C$19:$E$19,1,Inputs!$E$17)/MAX(Inputs!$E$88,1)/12,0)+IF(AND(Inputs!$E$89&gt;0,BJ3&lt;=Inputs!$E$89*12),INDEX(Capex!$C$20:$E$20,1,Inputs!$E$17)/MAX(Inputs!$E$89,1)/12,0)+IF(AND(Inputs!$E$90&gt;0,BJ3&lt;=Inputs!$E$90*12),INDEX(Capex!$C$21:$E$21,1,Inputs!$E$17)/MAX(Inputs!$E$90,1)/12,0)+IF(AND(Inputs!$E$91&gt;0,BJ3&lt;=Inputs!$E$91*12),INDEX(Capex!$C$22:$E$22,1,Inputs!$E$17)/MAX(Inputs!$E$91,1)/12,0)+IF(AND(Inputs!$E$92&gt;0,BJ3&lt;=Inputs!$E$92*12),INDEX(Capex!$C$23:$E$23,1,Inputs!$E$17)/MAX(Inputs!$E$92,1)/12,0)+IF(AND(Inputs!$E$93&gt;0,BJ3&lt;=Inputs!$E$93*12),INDEX(Capex!$C$24:$E$24,1,Inputs!$E$17)/MAX(Inputs!$E$93,1)/12,0)+IF(AND(Inputs!$E$94&gt;0,BJ3&lt;=Inputs!$E$94*12),INDEX(Capex!$C$25:$E$25,1,Inputs!$E$17)/MAX(Inputs!$E$94,1)/12,0)</f>
        <v/>
      </c>
    </row>
    <row r="29">
      <c r="A29" t="inlineStr">
        <is>
          <t>EBIT</t>
        </is>
      </c>
      <c r="C29" s="3">
        <f>C27-C28</f>
        <v/>
      </c>
      <c r="D29" s="3">
        <f>D27-D28</f>
        <v/>
      </c>
      <c r="E29" s="3">
        <f>E27-E28</f>
        <v/>
      </c>
      <c r="F29" s="3">
        <f>F27-F28</f>
        <v/>
      </c>
      <c r="G29" s="3">
        <f>G27-G28</f>
        <v/>
      </c>
      <c r="H29" s="3">
        <f>H27-H28</f>
        <v/>
      </c>
      <c r="I29" s="3">
        <f>I27-I28</f>
        <v/>
      </c>
      <c r="J29" s="3">
        <f>J27-J28</f>
        <v/>
      </c>
      <c r="K29" s="3">
        <f>K27-K28</f>
        <v/>
      </c>
      <c r="L29" s="3">
        <f>L27-L28</f>
        <v/>
      </c>
      <c r="M29" s="3">
        <f>M27-M28</f>
        <v/>
      </c>
      <c r="N29" s="3">
        <f>N27-N28</f>
        <v/>
      </c>
      <c r="O29" s="3">
        <f>O27-O28</f>
        <v/>
      </c>
      <c r="P29" s="3">
        <f>P27-P28</f>
        <v/>
      </c>
      <c r="Q29" s="3">
        <f>Q27-Q28</f>
        <v/>
      </c>
      <c r="R29" s="3">
        <f>R27-R28</f>
        <v/>
      </c>
      <c r="S29" s="3">
        <f>S27-S28</f>
        <v/>
      </c>
      <c r="T29" s="3">
        <f>T27-T28</f>
        <v/>
      </c>
      <c r="U29" s="3">
        <f>U27-U28</f>
        <v/>
      </c>
      <c r="V29" s="3">
        <f>V27-V28</f>
        <v/>
      </c>
      <c r="W29" s="3">
        <f>W27-W28</f>
        <v/>
      </c>
      <c r="X29" s="3">
        <f>X27-X28</f>
        <v/>
      </c>
      <c r="Y29" s="3">
        <f>Y27-Y28</f>
        <v/>
      </c>
      <c r="Z29" s="3">
        <f>Z27-Z28</f>
        <v/>
      </c>
      <c r="AA29" s="3">
        <f>AA27-AA28</f>
        <v/>
      </c>
      <c r="AB29" s="3">
        <f>AB27-AB28</f>
        <v/>
      </c>
      <c r="AC29" s="3">
        <f>AC27-AC28</f>
        <v/>
      </c>
      <c r="AD29" s="3">
        <f>AD27-AD28</f>
        <v/>
      </c>
      <c r="AE29" s="3">
        <f>AE27-AE28</f>
        <v/>
      </c>
      <c r="AF29" s="3">
        <f>AF27-AF28</f>
        <v/>
      </c>
      <c r="AG29" s="3">
        <f>AG27-AG28</f>
        <v/>
      </c>
      <c r="AH29" s="3">
        <f>AH27-AH28</f>
        <v/>
      </c>
      <c r="AI29" s="3">
        <f>AI27-AI28</f>
        <v/>
      </c>
      <c r="AJ29" s="3">
        <f>AJ27-AJ28</f>
        <v/>
      </c>
      <c r="AK29" s="3">
        <f>AK27-AK28</f>
        <v/>
      </c>
      <c r="AL29" s="3">
        <f>AL27-AL28</f>
        <v/>
      </c>
      <c r="AM29" s="3">
        <f>AM27-AM28</f>
        <v/>
      </c>
      <c r="AN29" s="3">
        <f>AN27-AN28</f>
        <v/>
      </c>
      <c r="AO29" s="3">
        <f>AO27-AO28</f>
        <v/>
      </c>
      <c r="AP29" s="3">
        <f>AP27-AP28</f>
        <v/>
      </c>
      <c r="AQ29" s="3">
        <f>AQ27-AQ28</f>
        <v/>
      </c>
      <c r="AR29" s="3">
        <f>AR27-AR28</f>
        <v/>
      </c>
      <c r="AS29" s="3">
        <f>AS27-AS28</f>
        <v/>
      </c>
      <c r="AT29" s="3">
        <f>AT27-AT28</f>
        <v/>
      </c>
      <c r="AU29" s="3">
        <f>AU27-AU28</f>
        <v/>
      </c>
      <c r="AV29" s="3">
        <f>AV27-AV28</f>
        <v/>
      </c>
      <c r="AW29" s="3">
        <f>AW27-AW28</f>
        <v/>
      </c>
      <c r="AX29" s="3">
        <f>AX27-AX28</f>
        <v/>
      </c>
      <c r="AY29" s="3">
        <f>AY27-AY28</f>
        <v/>
      </c>
      <c r="AZ29" s="3">
        <f>AZ27-AZ28</f>
        <v/>
      </c>
      <c r="BA29" s="3">
        <f>BA27-BA28</f>
        <v/>
      </c>
      <c r="BB29" s="3">
        <f>BB27-BB28</f>
        <v/>
      </c>
      <c r="BC29" s="3">
        <f>BC27-BC28</f>
        <v/>
      </c>
      <c r="BD29" s="3">
        <f>BD27-BD28</f>
        <v/>
      </c>
      <c r="BE29" s="3">
        <f>BE27-BE28</f>
        <v/>
      </c>
      <c r="BF29" s="3">
        <f>BF27-BF28</f>
        <v/>
      </c>
      <c r="BG29" s="3">
        <f>BG27-BG28</f>
        <v/>
      </c>
      <c r="BH29" s="3">
        <f>BH27-BH28</f>
        <v/>
      </c>
      <c r="BI29" s="3">
        <f>BI27-BI28</f>
        <v/>
      </c>
      <c r="BJ29" s="3">
        <f>BJ27-BJ28</f>
        <v/>
      </c>
    </row>
    <row r="30">
      <c r="A30" t="inlineStr">
        <is>
          <t>Cash before tax/capex adj.</t>
        </is>
      </c>
      <c r="C30" s="3">
        <f>C27-(INDEX(Annual!$C$81:$G$81,1,C4)+INDEX(Annual!$C$74:$G$74,1,C4)+INDEX(Annual!$C$84:$G$84,1,C4)+INDEX(Annual!$C$86:$G$86,1,C4))/12</f>
        <v/>
      </c>
      <c r="D30" s="3">
        <f>D27-(INDEX(Annual!$C$81:$G$81,1,D4)+INDEX(Annual!$C$74:$G$74,1,D4)+INDEX(Annual!$C$84:$G$84,1,D4)+INDEX(Annual!$C$86:$G$86,1,D4))/12</f>
        <v/>
      </c>
      <c r="E30" s="3">
        <f>E27-(INDEX(Annual!$C$81:$G$81,1,E4)+INDEX(Annual!$C$74:$G$74,1,E4)+INDEX(Annual!$C$84:$G$84,1,E4)+INDEX(Annual!$C$86:$G$86,1,E4))/12</f>
        <v/>
      </c>
      <c r="F30" s="3">
        <f>F27-(INDEX(Annual!$C$81:$G$81,1,F4)+INDEX(Annual!$C$74:$G$74,1,F4)+INDEX(Annual!$C$84:$G$84,1,F4)+INDEX(Annual!$C$86:$G$86,1,F4))/12</f>
        <v/>
      </c>
      <c r="G30" s="3">
        <f>G27-(INDEX(Annual!$C$81:$G$81,1,G4)+INDEX(Annual!$C$74:$G$74,1,G4)+INDEX(Annual!$C$84:$G$84,1,G4)+INDEX(Annual!$C$86:$G$86,1,G4))/12</f>
        <v/>
      </c>
      <c r="H30" s="3">
        <f>H27-(INDEX(Annual!$C$81:$G$81,1,H4)+INDEX(Annual!$C$74:$G$74,1,H4)+INDEX(Annual!$C$84:$G$84,1,H4)+INDEX(Annual!$C$86:$G$86,1,H4))/12</f>
        <v/>
      </c>
      <c r="I30" s="3">
        <f>I27-(INDEX(Annual!$C$81:$G$81,1,I4)+INDEX(Annual!$C$74:$G$74,1,I4)+INDEX(Annual!$C$84:$G$84,1,I4)+INDEX(Annual!$C$86:$G$86,1,I4))/12</f>
        <v/>
      </c>
      <c r="J30" s="3">
        <f>J27-(INDEX(Annual!$C$81:$G$81,1,J4)+INDEX(Annual!$C$74:$G$74,1,J4)+INDEX(Annual!$C$84:$G$84,1,J4)+INDEX(Annual!$C$86:$G$86,1,J4))/12</f>
        <v/>
      </c>
      <c r="K30" s="3">
        <f>K27-(INDEX(Annual!$C$81:$G$81,1,K4)+INDEX(Annual!$C$74:$G$74,1,K4)+INDEX(Annual!$C$84:$G$84,1,K4)+INDEX(Annual!$C$86:$G$86,1,K4))/12</f>
        <v/>
      </c>
      <c r="L30" s="3">
        <f>L27-(INDEX(Annual!$C$81:$G$81,1,L4)+INDEX(Annual!$C$74:$G$74,1,L4)+INDEX(Annual!$C$84:$G$84,1,L4)+INDEX(Annual!$C$86:$G$86,1,L4))/12</f>
        <v/>
      </c>
      <c r="M30" s="3">
        <f>M27-(INDEX(Annual!$C$81:$G$81,1,M4)+INDEX(Annual!$C$74:$G$74,1,M4)+INDEX(Annual!$C$84:$G$84,1,M4)+INDEX(Annual!$C$86:$G$86,1,M4))/12</f>
        <v/>
      </c>
      <c r="N30" s="3">
        <f>N27-(INDEX(Annual!$C$81:$G$81,1,N4)+INDEX(Annual!$C$74:$G$74,1,N4)+INDEX(Annual!$C$84:$G$84,1,N4)+INDEX(Annual!$C$86:$G$86,1,N4))/12</f>
        <v/>
      </c>
      <c r="O30" s="3">
        <f>O27-(INDEX(Annual!$C$81:$G$81,1,O4)+INDEX(Annual!$C$74:$G$74,1,O4)+INDEX(Annual!$C$84:$G$84,1,O4)+INDEX(Annual!$C$86:$G$86,1,O4))/12</f>
        <v/>
      </c>
      <c r="P30" s="3">
        <f>P27-(INDEX(Annual!$C$81:$G$81,1,P4)+INDEX(Annual!$C$74:$G$74,1,P4)+INDEX(Annual!$C$84:$G$84,1,P4)+INDEX(Annual!$C$86:$G$86,1,P4))/12</f>
        <v/>
      </c>
      <c r="Q30" s="3">
        <f>Q27-(INDEX(Annual!$C$81:$G$81,1,Q4)+INDEX(Annual!$C$74:$G$74,1,Q4)+INDEX(Annual!$C$84:$G$84,1,Q4)+INDEX(Annual!$C$86:$G$86,1,Q4))/12</f>
        <v/>
      </c>
      <c r="R30" s="3">
        <f>R27-(INDEX(Annual!$C$81:$G$81,1,R4)+INDEX(Annual!$C$74:$G$74,1,R4)+INDEX(Annual!$C$84:$G$84,1,R4)+INDEX(Annual!$C$86:$G$86,1,R4))/12</f>
        <v/>
      </c>
      <c r="S30" s="3">
        <f>S27-(INDEX(Annual!$C$81:$G$81,1,S4)+INDEX(Annual!$C$74:$G$74,1,S4)+INDEX(Annual!$C$84:$G$84,1,S4)+INDEX(Annual!$C$86:$G$86,1,S4))/12</f>
        <v/>
      </c>
      <c r="T30" s="3">
        <f>T27-(INDEX(Annual!$C$81:$G$81,1,T4)+INDEX(Annual!$C$74:$G$74,1,T4)+INDEX(Annual!$C$84:$G$84,1,T4)+INDEX(Annual!$C$86:$G$86,1,T4))/12</f>
        <v/>
      </c>
      <c r="U30" s="3">
        <f>U27-(INDEX(Annual!$C$81:$G$81,1,U4)+INDEX(Annual!$C$74:$G$74,1,U4)+INDEX(Annual!$C$84:$G$84,1,U4)+INDEX(Annual!$C$86:$G$86,1,U4))/12</f>
        <v/>
      </c>
      <c r="V30" s="3">
        <f>V27-(INDEX(Annual!$C$81:$G$81,1,V4)+INDEX(Annual!$C$74:$G$74,1,V4)+INDEX(Annual!$C$84:$G$84,1,V4)+INDEX(Annual!$C$86:$G$86,1,V4))/12</f>
        <v/>
      </c>
      <c r="W30" s="3">
        <f>W27-(INDEX(Annual!$C$81:$G$81,1,W4)+INDEX(Annual!$C$74:$G$74,1,W4)+INDEX(Annual!$C$84:$G$84,1,W4)+INDEX(Annual!$C$86:$G$86,1,W4))/12</f>
        <v/>
      </c>
      <c r="X30" s="3">
        <f>X27-(INDEX(Annual!$C$81:$G$81,1,X4)+INDEX(Annual!$C$74:$G$74,1,X4)+INDEX(Annual!$C$84:$G$84,1,X4)+INDEX(Annual!$C$86:$G$86,1,X4))/12</f>
        <v/>
      </c>
      <c r="Y30" s="3">
        <f>Y27-(INDEX(Annual!$C$81:$G$81,1,Y4)+INDEX(Annual!$C$74:$G$74,1,Y4)+INDEX(Annual!$C$84:$G$84,1,Y4)+INDEX(Annual!$C$86:$G$86,1,Y4))/12</f>
        <v/>
      </c>
      <c r="Z30" s="3">
        <f>Z27-(INDEX(Annual!$C$81:$G$81,1,Z4)+INDEX(Annual!$C$74:$G$74,1,Z4)+INDEX(Annual!$C$84:$G$84,1,Z4)+INDEX(Annual!$C$86:$G$86,1,Z4))/12</f>
        <v/>
      </c>
      <c r="AA30" s="3">
        <f>AA27-(INDEX(Annual!$C$81:$G$81,1,AA4)+INDEX(Annual!$C$74:$G$74,1,AA4)+INDEX(Annual!$C$84:$G$84,1,AA4)+INDEX(Annual!$C$86:$G$86,1,AA4))/12</f>
        <v/>
      </c>
      <c r="AB30" s="3">
        <f>AB27-(INDEX(Annual!$C$81:$G$81,1,AB4)+INDEX(Annual!$C$74:$G$74,1,AB4)+INDEX(Annual!$C$84:$G$84,1,AB4)+INDEX(Annual!$C$86:$G$86,1,AB4))/12</f>
        <v/>
      </c>
      <c r="AC30" s="3">
        <f>AC27-(INDEX(Annual!$C$81:$G$81,1,AC4)+INDEX(Annual!$C$74:$G$74,1,AC4)+INDEX(Annual!$C$84:$G$84,1,AC4)+INDEX(Annual!$C$86:$G$86,1,AC4))/12</f>
        <v/>
      </c>
      <c r="AD30" s="3">
        <f>AD27-(INDEX(Annual!$C$81:$G$81,1,AD4)+INDEX(Annual!$C$74:$G$74,1,AD4)+INDEX(Annual!$C$84:$G$84,1,AD4)+INDEX(Annual!$C$86:$G$86,1,AD4))/12</f>
        <v/>
      </c>
      <c r="AE30" s="3">
        <f>AE27-(INDEX(Annual!$C$81:$G$81,1,AE4)+INDEX(Annual!$C$74:$G$74,1,AE4)+INDEX(Annual!$C$84:$G$84,1,AE4)+INDEX(Annual!$C$86:$G$86,1,AE4))/12</f>
        <v/>
      </c>
      <c r="AF30" s="3">
        <f>AF27-(INDEX(Annual!$C$81:$G$81,1,AF4)+INDEX(Annual!$C$74:$G$74,1,AF4)+INDEX(Annual!$C$84:$G$84,1,AF4)+INDEX(Annual!$C$86:$G$86,1,AF4))/12</f>
        <v/>
      </c>
      <c r="AG30" s="3">
        <f>AG27-(INDEX(Annual!$C$81:$G$81,1,AG4)+INDEX(Annual!$C$74:$G$74,1,AG4)+INDEX(Annual!$C$84:$G$84,1,AG4)+INDEX(Annual!$C$86:$G$86,1,AG4))/12</f>
        <v/>
      </c>
      <c r="AH30" s="3">
        <f>AH27-(INDEX(Annual!$C$81:$G$81,1,AH4)+INDEX(Annual!$C$74:$G$74,1,AH4)+INDEX(Annual!$C$84:$G$84,1,AH4)+INDEX(Annual!$C$86:$G$86,1,AH4))/12</f>
        <v/>
      </c>
      <c r="AI30" s="3">
        <f>AI27-(INDEX(Annual!$C$81:$G$81,1,AI4)+INDEX(Annual!$C$74:$G$74,1,AI4)+INDEX(Annual!$C$84:$G$84,1,AI4)+INDEX(Annual!$C$86:$G$86,1,AI4))/12</f>
        <v/>
      </c>
      <c r="AJ30" s="3">
        <f>AJ27-(INDEX(Annual!$C$81:$G$81,1,AJ4)+INDEX(Annual!$C$74:$G$74,1,AJ4)+INDEX(Annual!$C$84:$G$84,1,AJ4)+INDEX(Annual!$C$86:$G$86,1,AJ4))/12</f>
        <v/>
      </c>
      <c r="AK30" s="3">
        <f>AK27-(INDEX(Annual!$C$81:$G$81,1,AK4)+INDEX(Annual!$C$74:$G$74,1,AK4)+INDEX(Annual!$C$84:$G$84,1,AK4)+INDEX(Annual!$C$86:$G$86,1,AK4))/12</f>
        <v/>
      </c>
      <c r="AL30" s="3">
        <f>AL27-(INDEX(Annual!$C$81:$G$81,1,AL4)+INDEX(Annual!$C$74:$G$74,1,AL4)+INDEX(Annual!$C$84:$G$84,1,AL4)+INDEX(Annual!$C$86:$G$86,1,AL4))/12</f>
        <v/>
      </c>
      <c r="AM30" s="3">
        <f>AM27-(INDEX(Annual!$C$81:$G$81,1,AM4)+INDEX(Annual!$C$74:$G$74,1,AM4)+INDEX(Annual!$C$84:$G$84,1,AM4)+INDEX(Annual!$C$86:$G$86,1,AM4))/12</f>
        <v/>
      </c>
      <c r="AN30" s="3">
        <f>AN27-(INDEX(Annual!$C$81:$G$81,1,AN4)+INDEX(Annual!$C$74:$G$74,1,AN4)+INDEX(Annual!$C$84:$G$84,1,AN4)+INDEX(Annual!$C$86:$G$86,1,AN4))/12</f>
        <v/>
      </c>
      <c r="AO30" s="3">
        <f>AO27-(INDEX(Annual!$C$81:$G$81,1,AO4)+INDEX(Annual!$C$74:$G$74,1,AO4)+INDEX(Annual!$C$84:$G$84,1,AO4)+INDEX(Annual!$C$86:$G$86,1,AO4))/12</f>
        <v/>
      </c>
      <c r="AP30" s="3">
        <f>AP27-(INDEX(Annual!$C$81:$G$81,1,AP4)+INDEX(Annual!$C$74:$G$74,1,AP4)+INDEX(Annual!$C$84:$G$84,1,AP4)+INDEX(Annual!$C$86:$G$86,1,AP4))/12</f>
        <v/>
      </c>
      <c r="AQ30" s="3">
        <f>AQ27-(INDEX(Annual!$C$81:$G$81,1,AQ4)+INDEX(Annual!$C$74:$G$74,1,AQ4)+INDEX(Annual!$C$84:$G$84,1,AQ4)+INDEX(Annual!$C$86:$G$86,1,AQ4))/12</f>
        <v/>
      </c>
      <c r="AR30" s="3">
        <f>AR27-(INDEX(Annual!$C$81:$G$81,1,AR4)+INDEX(Annual!$C$74:$G$74,1,AR4)+INDEX(Annual!$C$84:$G$84,1,AR4)+INDEX(Annual!$C$86:$G$86,1,AR4))/12</f>
        <v/>
      </c>
      <c r="AS30" s="3">
        <f>AS27-(INDEX(Annual!$C$81:$G$81,1,AS4)+INDEX(Annual!$C$74:$G$74,1,AS4)+INDEX(Annual!$C$84:$G$84,1,AS4)+INDEX(Annual!$C$86:$G$86,1,AS4))/12</f>
        <v/>
      </c>
      <c r="AT30" s="3">
        <f>AT27-(INDEX(Annual!$C$81:$G$81,1,AT4)+INDEX(Annual!$C$74:$G$74,1,AT4)+INDEX(Annual!$C$84:$G$84,1,AT4)+INDEX(Annual!$C$86:$G$86,1,AT4))/12</f>
        <v/>
      </c>
      <c r="AU30" s="3">
        <f>AU27-(INDEX(Annual!$C$81:$G$81,1,AU4)+INDEX(Annual!$C$74:$G$74,1,AU4)+INDEX(Annual!$C$84:$G$84,1,AU4)+INDEX(Annual!$C$86:$G$86,1,AU4))/12</f>
        <v/>
      </c>
      <c r="AV30" s="3">
        <f>AV27-(INDEX(Annual!$C$81:$G$81,1,AV4)+INDEX(Annual!$C$74:$G$74,1,AV4)+INDEX(Annual!$C$84:$G$84,1,AV4)+INDEX(Annual!$C$86:$G$86,1,AV4))/12</f>
        <v/>
      </c>
      <c r="AW30" s="3">
        <f>AW27-(INDEX(Annual!$C$81:$G$81,1,AW4)+INDEX(Annual!$C$74:$G$74,1,AW4)+INDEX(Annual!$C$84:$G$84,1,AW4)+INDEX(Annual!$C$86:$G$86,1,AW4))/12</f>
        <v/>
      </c>
      <c r="AX30" s="3">
        <f>AX27-(INDEX(Annual!$C$81:$G$81,1,AX4)+INDEX(Annual!$C$74:$G$74,1,AX4)+INDEX(Annual!$C$84:$G$84,1,AX4)+INDEX(Annual!$C$86:$G$86,1,AX4))/12</f>
        <v/>
      </c>
      <c r="AY30" s="3">
        <f>AY27-(INDEX(Annual!$C$81:$G$81,1,AY4)+INDEX(Annual!$C$74:$G$74,1,AY4)+INDEX(Annual!$C$84:$G$84,1,AY4)+INDEX(Annual!$C$86:$G$86,1,AY4))/12</f>
        <v/>
      </c>
      <c r="AZ30" s="3">
        <f>AZ27-(INDEX(Annual!$C$81:$G$81,1,AZ4)+INDEX(Annual!$C$74:$G$74,1,AZ4)+INDEX(Annual!$C$84:$G$84,1,AZ4)+INDEX(Annual!$C$86:$G$86,1,AZ4))/12</f>
        <v/>
      </c>
      <c r="BA30" s="3">
        <f>BA27-(INDEX(Annual!$C$81:$G$81,1,BA4)+INDEX(Annual!$C$74:$G$74,1,BA4)+INDEX(Annual!$C$84:$G$84,1,BA4)+INDEX(Annual!$C$86:$G$86,1,BA4))/12</f>
        <v/>
      </c>
      <c r="BB30" s="3">
        <f>BB27-(INDEX(Annual!$C$81:$G$81,1,BB4)+INDEX(Annual!$C$74:$G$74,1,BB4)+INDEX(Annual!$C$84:$G$84,1,BB4)+INDEX(Annual!$C$86:$G$86,1,BB4))/12</f>
        <v/>
      </c>
      <c r="BC30" s="3">
        <f>BC27-(INDEX(Annual!$C$81:$G$81,1,BC4)+INDEX(Annual!$C$74:$G$74,1,BC4)+INDEX(Annual!$C$84:$G$84,1,BC4)+INDEX(Annual!$C$86:$G$86,1,BC4))/12</f>
        <v/>
      </c>
      <c r="BD30" s="3">
        <f>BD27-(INDEX(Annual!$C$81:$G$81,1,BD4)+INDEX(Annual!$C$74:$G$74,1,BD4)+INDEX(Annual!$C$84:$G$84,1,BD4)+INDEX(Annual!$C$86:$G$86,1,BD4))/12</f>
        <v/>
      </c>
      <c r="BE30" s="3">
        <f>BE27-(INDEX(Annual!$C$81:$G$81,1,BE4)+INDEX(Annual!$C$74:$G$74,1,BE4)+INDEX(Annual!$C$84:$G$84,1,BE4)+INDEX(Annual!$C$86:$G$86,1,BE4))/12</f>
        <v/>
      </c>
      <c r="BF30" s="3">
        <f>BF27-(INDEX(Annual!$C$81:$G$81,1,BF4)+INDEX(Annual!$C$74:$G$74,1,BF4)+INDEX(Annual!$C$84:$G$84,1,BF4)+INDEX(Annual!$C$86:$G$86,1,BF4))/12</f>
        <v/>
      </c>
      <c r="BG30" s="3">
        <f>BG27-(INDEX(Annual!$C$81:$G$81,1,BG4)+INDEX(Annual!$C$74:$G$74,1,BG4)+INDEX(Annual!$C$84:$G$84,1,BG4)+INDEX(Annual!$C$86:$G$86,1,BG4))/12</f>
        <v/>
      </c>
      <c r="BH30" s="3">
        <f>BH27-(INDEX(Annual!$C$81:$G$81,1,BH4)+INDEX(Annual!$C$74:$G$74,1,BH4)+INDEX(Annual!$C$84:$G$84,1,BH4)+INDEX(Annual!$C$86:$G$86,1,BH4))/12</f>
        <v/>
      </c>
      <c r="BI30" s="3">
        <f>BI27-(INDEX(Annual!$C$81:$G$81,1,BI4)+INDEX(Annual!$C$74:$G$74,1,BI4)+INDEX(Annual!$C$84:$G$84,1,BI4)+INDEX(Annual!$C$86:$G$86,1,BI4))/12</f>
        <v/>
      </c>
      <c r="BJ30" s="3">
        <f>BJ27-(INDEX(Annual!$C$81:$G$81,1,BJ4)+INDEX(Annual!$C$74:$G$74,1,BJ4)+INDEX(Annual!$C$84:$G$84,1,BJ4)+INDEX(Annual!$C$86:$G$86,1,BJ4))/12</f>
        <v/>
      </c>
    </row>
    <row r="31">
      <c r="A31" s="18" t="inlineStr">
        <is>
          <t>Cumulative cash (after investment)</t>
        </is>
      </c>
      <c r="C31" s="3">
        <f>-INDEX(Capex!$C$15:$E$15,1,Inputs!$E$17)+C30</f>
        <v/>
      </c>
      <c r="D31" s="3">
        <f>C31+D30</f>
        <v/>
      </c>
      <c r="E31" s="3">
        <f>D31+E30</f>
        <v/>
      </c>
      <c r="F31" s="3">
        <f>E31+F30</f>
        <v/>
      </c>
      <c r="G31" s="3">
        <f>F31+G30</f>
        <v/>
      </c>
      <c r="H31" s="3">
        <f>G31+H30</f>
        <v/>
      </c>
      <c r="I31" s="3">
        <f>H31+I30</f>
        <v/>
      </c>
      <c r="J31" s="3">
        <f>I31+J30</f>
        <v/>
      </c>
      <c r="K31" s="3">
        <f>J31+K30</f>
        <v/>
      </c>
      <c r="L31" s="3">
        <f>K31+L30</f>
        <v/>
      </c>
      <c r="M31" s="3">
        <f>L31+M30</f>
        <v/>
      </c>
      <c r="N31" s="3">
        <f>M31+N30</f>
        <v/>
      </c>
      <c r="O31" s="3">
        <f>N31+O30</f>
        <v/>
      </c>
      <c r="P31" s="3">
        <f>O31+P30</f>
        <v/>
      </c>
      <c r="Q31" s="3">
        <f>P31+Q30</f>
        <v/>
      </c>
      <c r="R31" s="3">
        <f>Q31+R30</f>
        <v/>
      </c>
      <c r="S31" s="3">
        <f>R31+S30</f>
        <v/>
      </c>
      <c r="T31" s="3">
        <f>S31+T30</f>
        <v/>
      </c>
      <c r="U31" s="3">
        <f>T31+U30</f>
        <v/>
      </c>
      <c r="V31" s="3">
        <f>U31+V30</f>
        <v/>
      </c>
      <c r="W31" s="3">
        <f>V31+W30</f>
        <v/>
      </c>
      <c r="X31" s="3">
        <f>W31+X30</f>
        <v/>
      </c>
      <c r="Y31" s="3">
        <f>X31+Y30</f>
        <v/>
      </c>
      <c r="Z31" s="3">
        <f>Y31+Z30</f>
        <v/>
      </c>
      <c r="AA31" s="3">
        <f>Z31+AA30</f>
        <v/>
      </c>
      <c r="AB31" s="3">
        <f>AA31+AB30</f>
        <v/>
      </c>
      <c r="AC31" s="3">
        <f>AB31+AC30</f>
        <v/>
      </c>
      <c r="AD31" s="3">
        <f>AC31+AD30</f>
        <v/>
      </c>
      <c r="AE31" s="3">
        <f>AD31+AE30</f>
        <v/>
      </c>
      <c r="AF31" s="3">
        <f>AE31+AF30</f>
        <v/>
      </c>
      <c r="AG31" s="3">
        <f>AF31+AG30</f>
        <v/>
      </c>
      <c r="AH31" s="3">
        <f>AG31+AH30</f>
        <v/>
      </c>
      <c r="AI31" s="3">
        <f>AH31+AI30</f>
        <v/>
      </c>
      <c r="AJ31" s="3">
        <f>AI31+AJ30</f>
        <v/>
      </c>
      <c r="AK31" s="3">
        <f>AJ31+AK30</f>
        <v/>
      </c>
      <c r="AL31" s="3">
        <f>AK31+AL30</f>
        <v/>
      </c>
      <c r="AM31" s="3">
        <f>AL31+AM30</f>
        <v/>
      </c>
      <c r="AN31" s="3">
        <f>AM31+AN30</f>
        <v/>
      </c>
      <c r="AO31" s="3">
        <f>AN31+AO30</f>
        <v/>
      </c>
      <c r="AP31" s="3">
        <f>AO31+AP30</f>
        <v/>
      </c>
      <c r="AQ31" s="3">
        <f>AP31+AQ30</f>
        <v/>
      </c>
      <c r="AR31" s="3">
        <f>AQ31+AR30</f>
        <v/>
      </c>
      <c r="AS31" s="3">
        <f>AR31+AS30</f>
        <v/>
      </c>
      <c r="AT31" s="3">
        <f>AS31+AT30</f>
        <v/>
      </c>
      <c r="AU31" s="3">
        <f>AT31+AU30</f>
        <v/>
      </c>
      <c r="AV31" s="3">
        <f>AU31+AV30</f>
        <v/>
      </c>
      <c r="AW31" s="3">
        <f>AV31+AW30</f>
        <v/>
      </c>
      <c r="AX31" s="3">
        <f>AW31+AX30</f>
        <v/>
      </c>
      <c r="AY31" s="3">
        <f>AX31+AY30</f>
        <v/>
      </c>
      <c r="AZ31" s="3">
        <f>AY31+AZ30</f>
        <v/>
      </c>
      <c r="BA31" s="3">
        <f>AZ31+BA30</f>
        <v/>
      </c>
      <c r="BB31" s="3">
        <f>BA31+BB30</f>
        <v/>
      </c>
      <c r="BC31" s="3">
        <f>BB31+BC30</f>
        <v/>
      </c>
      <c r="BD31" s="3">
        <f>BC31+BD30</f>
        <v/>
      </c>
      <c r="BE31" s="3">
        <f>BD31+BE30</f>
        <v/>
      </c>
      <c r="BF31" s="3">
        <f>BE31+BF30</f>
        <v/>
      </c>
      <c r="BG31" s="3">
        <f>BF31+BG30</f>
        <v/>
      </c>
      <c r="BH31" s="3">
        <f>BG31+BH30</f>
        <v/>
      </c>
      <c r="BI31" s="3">
        <f>BH31+BI30</f>
        <v/>
      </c>
      <c r="BJ31" s="3">
        <f>BI31+BJ30</f>
        <v/>
      </c>
    </row>
    <row r="32">
      <c r="A32" t="inlineStr">
        <is>
          <t>Payback flag</t>
        </is>
      </c>
      <c r="C32" s="7">
        <f>IF(C31&gt;=0,C3,999)</f>
        <v/>
      </c>
      <c r="D32" s="7">
        <f>IF(D31&gt;=0,D3,999)</f>
        <v/>
      </c>
      <c r="E32" s="7">
        <f>IF(E31&gt;=0,E3,999)</f>
        <v/>
      </c>
      <c r="F32" s="7">
        <f>IF(F31&gt;=0,F3,999)</f>
        <v/>
      </c>
      <c r="G32" s="7">
        <f>IF(G31&gt;=0,G3,999)</f>
        <v/>
      </c>
      <c r="H32" s="7">
        <f>IF(H31&gt;=0,H3,999)</f>
        <v/>
      </c>
      <c r="I32" s="7">
        <f>IF(I31&gt;=0,I3,999)</f>
        <v/>
      </c>
      <c r="J32" s="7">
        <f>IF(J31&gt;=0,J3,999)</f>
        <v/>
      </c>
      <c r="K32" s="7">
        <f>IF(K31&gt;=0,K3,999)</f>
        <v/>
      </c>
      <c r="L32" s="7">
        <f>IF(L31&gt;=0,L3,999)</f>
        <v/>
      </c>
      <c r="M32" s="7">
        <f>IF(M31&gt;=0,M3,999)</f>
        <v/>
      </c>
      <c r="N32" s="7">
        <f>IF(N31&gt;=0,N3,999)</f>
        <v/>
      </c>
      <c r="O32" s="7">
        <f>IF(O31&gt;=0,O3,999)</f>
        <v/>
      </c>
      <c r="P32" s="7">
        <f>IF(P31&gt;=0,P3,999)</f>
        <v/>
      </c>
      <c r="Q32" s="7">
        <f>IF(Q31&gt;=0,Q3,999)</f>
        <v/>
      </c>
      <c r="R32" s="7">
        <f>IF(R31&gt;=0,R3,999)</f>
        <v/>
      </c>
      <c r="S32" s="7">
        <f>IF(S31&gt;=0,S3,999)</f>
        <v/>
      </c>
      <c r="T32" s="7">
        <f>IF(T31&gt;=0,T3,999)</f>
        <v/>
      </c>
      <c r="U32" s="7">
        <f>IF(U31&gt;=0,U3,999)</f>
        <v/>
      </c>
      <c r="V32" s="7">
        <f>IF(V31&gt;=0,V3,999)</f>
        <v/>
      </c>
      <c r="W32" s="7">
        <f>IF(W31&gt;=0,W3,999)</f>
        <v/>
      </c>
      <c r="X32" s="7">
        <f>IF(X31&gt;=0,X3,999)</f>
        <v/>
      </c>
      <c r="Y32" s="7">
        <f>IF(Y31&gt;=0,Y3,999)</f>
        <v/>
      </c>
      <c r="Z32" s="7">
        <f>IF(Z31&gt;=0,Z3,999)</f>
        <v/>
      </c>
      <c r="AA32" s="7">
        <f>IF(AA31&gt;=0,AA3,999)</f>
        <v/>
      </c>
      <c r="AB32" s="7">
        <f>IF(AB31&gt;=0,AB3,999)</f>
        <v/>
      </c>
      <c r="AC32" s="7">
        <f>IF(AC31&gt;=0,AC3,999)</f>
        <v/>
      </c>
      <c r="AD32" s="7">
        <f>IF(AD31&gt;=0,AD3,999)</f>
        <v/>
      </c>
      <c r="AE32" s="7">
        <f>IF(AE31&gt;=0,AE3,999)</f>
        <v/>
      </c>
      <c r="AF32" s="7">
        <f>IF(AF31&gt;=0,AF3,999)</f>
        <v/>
      </c>
      <c r="AG32" s="7">
        <f>IF(AG31&gt;=0,AG3,999)</f>
        <v/>
      </c>
      <c r="AH32" s="7">
        <f>IF(AH31&gt;=0,AH3,999)</f>
        <v/>
      </c>
      <c r="AI32" s="7">
        <f>IF(AI31&gt;=0,AI3,999)</f>
        <v/>
      </c>
      <c r="AJ32" s="7">
        <f>IF(AJ31&gt;=0,AJ3,999)</f>
        <v/>
      </c>
      <c r="AK32" s="7">
        <f>IF(AK31&gt;=0,AK3,999)</f>
        <v/>
      </c>
      <c r="AL32" s="7">
        <f>IF(AL31&gt;=0,AL3,999)</f>
        <v/>
      </c>
      <c r="AM32" s="7">
        <f>IF(AM31&gt;=0,AM3,999)</f>
        <v/>
      </c>
      <c r="AN32" s="7">
        <f>IF(AN31&gt;=0,AN3,999)</f>
        <v/>
      </c>
      <c r="AO32" s="7">
        <f>IF(AO31&gt;=0,AO3,999)</f>
        <v/>
      </c>
      <c r="AP32" s="7">
        <f>IF(AP31&gt;=0,AP3,999)</f>
        <v/>
      </c>
      <c r="AQ32" s="7">
        <f>IF(AQ31&gt;=0,AQ3,999)</f>
        <v/>
      </c>
      <c r="AR32" s="7">
        <f>IF(AR31&gt;=0,AR3,999)</f>
        <v/>
      </c>
      <c r="AS32" s="7">
        <f>IF(AS31&gt;=0,AS3,999)</f>
        <v/>
      </c>
      <c r="AT32" s="7">
        <f>IF(AT31&gt;=0,AT3,999)</f>
        <v/>
      </c>
      <c r="AU32" s="7">
        <f>IF(AU31&gt;=0,AU3,999)</f>
        <v/>
      </c>
      <c r="AV32" s="7">
        <f>IF(AV31&gt;=0,AV3,999)</f>
        <v/>
      </c>
      <c r="AW32" s="7">
        <f>IF(AW31&gt;=0,AW3,999)</f>
        <v/>
      </c>
      <c r="AX32" s="7">
        <f>IF(AX31&gt;=0,AX3,999)</f>
        <v/>
      </c>
      <c r="AY32" s="7">
        <f>IF(AY31&gt;=0,AY3,999)</f>
        <v/>
      </c>
      <c r="AZ32" s="7">
        <f>IF(AZ31&gt;=0,AZ3,999)</f>
        <v/>
      </c>
      <c r="BA32" s="7">
        <f>IF(BA31&gt;=0,BA3,999)</f>
        <v/>
      </c>
      <c r="BB32" s="7">
        <f>IF(BB31&gt;=0,BB3,999)</f>
        <v/>
      </c>
      <c r="BC32" s="7">
        <f>IF(BC31&gt;=0,BC3,999)</f>
        <v/>
      </c>
      <c r="BD32" s="7">
        <f>IF(BD31&gt;=0,BD3,999)</f>
        <v/>
      </c>
      <c r="BE32" s="7">
        <f>IF(BE31&gt;=0,BE3,999)</f>
        <v/>
      </c>
      <c r="BF32" s="7">
        <f>IF(BF31&gt;=0,BF3,999)</f>
        <v/>
      </c>
      <c r="BG32" s="7">
        <f>IF(BG31&gt;=0,BG3,999)</f>
        <v/>
      </c>
      <c r="BH32" s="7">
        <f>IF(BH31&gt;=0,BH3,999)</f>
        <v/>
      </c>
      <c r="BI32" s="7">
        <f>IF(BI31&gt;=0,BI3,999)</f>
        <v/>
      </c>
      <c r="BJ32" s="7">
        <f>IF(BJ31&gt;=0,BJ3,999)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J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8" t="inlineStr">
        <is>
          <t>CHAMPA — monthly engine — OPTIMISTIC scenario (AMD)</t>
        </is>
      </c>
    </row>
    <row r="2">
      <c r="B2" s="18" t="inlineStr">
        <is>
          <t>Units</t>
        </is>
      </c>
      <c r="C2" s="18">
        <f>CHOOSE(C5,"Jan","Feb","Mar","Apr","May","Jun","Jul","Aug","Sep","Oct","Nov","Dec")&amp;" Y"&amp;C4</f>
        <v/>
      </c>
      <c r="D2" s="18">
        <f>CHOOSE(D5,"Jan","Feb","Mar","Apr","May","Jun","Jul","Aug","Sep","Oct","Nov","Dec")&amp;" Y"&amp;D4</f>
        <v/>
      </c>
      <c r="E2" s="18">
        <f>CHOOSE(E5,"Jan","Feb","Mar","Apr","May","Jun","Jul","Aug","Sep","Oct","Nov","Dec")&amp;" Y"&amp;E4</f>
        <v/>
      </c>
      <c r="F2" s="18">
        <f>CHOOSE(F5,"Jan","Feb","Mar","Apr","May","Jun","Jul","Aug","Sep","Oct","Nov","Dec")&amp;" Y"&amp;F4</f>
        <v/>
      </c>
      <c r="G2" s="18">
        <f>CHOOSE(G5,"Jan","Feb","Mar","Apr","May","Jun","Jul","Aug","Sep","Oct","Nov","Dec")&amp;" Y"&amp;G4</f>
        <v/>
      </c>
      <c r="H2" s="18">
        <f>CHOOSE(H5,"Jan","Feb","Mar","Apr","May","Jun","Jul","Aug","Sep","Oct","Nov","Dec")&amp;" Y"&amp;H4</f>
        <v/>
      </c>
      <c r="I2" s="18">
        <f>CHOOSE(I5,"Jan","Feb","Mar","Apr","May","Jun","Jul","Aug","Sep","Oct","Nov","Dec")&amp;" Y"&amp;I4</f>
        <v/>
      </c>
      <c r="J2" s="18">
        <f>CHOOSE(J5,"Jan","Feb","Mar","Apr","May","Jun","Jul","Aug","Sep","Oct","Nov","Dec")&amp;" Y"&amp;J4</f>
        <v/>
      </c>
      <c r="K2" s="18">
        <f>CHOOSE(K5,"Jan","Feb","Mar","Apr","May","Jun","Jul","Aug","Sep","Oct","Nov","Dec")&amp;" Y"&amp;K4</f>
        <v/>
      </c>
      <c r="L2" s="18">
        <f>CHOOSE(L5,"Jan","Feb","Mar","Apr","May","Jun","Jul","Aug","Sep","Oct","Nov","Dec")&amp;" Y"&amp;L4</f>
        <v/>
      </c>
      <c r="M2" s="18">
        <f>CHOOSE(M5,"Jan","Feb","Mar","Apr","May","Jun","Jul","Aug","Sep","Oct","Nov","Dec")&amp;" Y"&amp;M4</f>
        <v/>
      </c>
      <c r="N2" s="18">
        <f>CHOOSE(N5,"Jan","Feb","Mar","Apr","May","Jun","Jul","Aug","Sep","Oct","Nov","Dec")&amp;" Y"&amp;N4</f>
        <v/>
      </c>
      <c r="O2" s="18">
        <f>CHOOSE(O5,"Jan","Feb","Mar","Apr","May","Jun","Jul","Aug","Sep","Oct","Nov","Dec")&amp;" Y"&amp;O4</f>
        <v/>
      </c>
      <c r="P2" s="18">
        <f>CHOOSE(P5,"Jan","Feb","Mar","Apr","May","Jun","Jul","Aug","Sep","Oct","Nov","Dec")&amp;" Y"&amp;P4</f>
        <v/>
      </c>
      <c r="Q2" s="18">
        <f>CHOOSE(Q5,"Jan","Feb","Mar","Apr","May","Jun","Jul","Aug","Sep","Oct","Nov","Dec")&amp;" Y"&amp;Q4</f>
        <v/>
      </c>
      <c r="R2" s="18">
        <f>CHOOSE(R5,"Jan","Feb","Mar","Apr","May","Jun","Jul","Aug","Sep","Oct","Nov","Dec")&amp;" Y"&amp;R4</f>
        <v/>
      </c>
      <c r="S2" s="18">
        <f>CHOOSE(S5,"Jan","Feb","Mar","Apr","May","Jun","Jul","Aug","Sep","Oct","Nov","Dec")&amp;" Y"&amp;S4</f>
        <v/>
      </c>
      <c r="T2" s="18">
        <f>CHOOSE(T5,"Jan","Feb","Mar","Apr","May","Jun","Jul","Aug","Sep","Oct","Nov","Dec")&amp;" Y"&amp;T4</f>
        <v/>
      </c>
      <c r="U2" s="18">
        <f>CHOOSE(U5,"Jan","Feb","Mar","Apr","May","Jun","Jul","Aug","Sep","Oct","Nov","Dec")&amp;" Y"&amp;U4</f>
        <v/>
      </c>
      <c r="V2" s="18">
        <f>CHOOSE(V5,"Jan","Feb","Mar","Apr","May","Jun","Jul","Aug","Sep","Oct","Nov","Dec")&amp;" Y"&amp;V4</f>
        <v/>
      </c>
      <c r="W2" s="18">
        <f>CHOOSE(W5,"Jan","Feb","Mar","Apr","May","Jun","Jul","Aug","Sep","Oct","Nov","Dec")&amp;" Y"&amp;W4</f>
        <v/>
      </c>
      <c r="X2" s="18">
        <f>CHOOSE(X5,"Jan","Feb","Mar","Apr","May","Jun","Jul","Aug","Sep","Oct","Nov","Dec")&amp;" Y"&amp;X4</f>
        <v/>
      </c>
      <c r="Y2" s="18">
        <f>CHOOSE(Y5,"Jan","Feb","Mar","Apr","May","Jun","Jul","Aug","Sep","Oct","Nov","Dec")&amp;" Y"&amp;Y4</f>
        <v/>
      </c>
      <c r="Z2" s="18">
        <f>CHOOSE(Z5,"Jan","Feb","Mar","Apr","May","Jun","Jul","Aug","Sep","Oct","Nov","Dec")&amp;" Y"&amp;Z4</f>
        <v/>
      </c>
      <c r="AA2" s="18">
        <f>CHOOSE(AA5,"Jan","Feb","Mar","Apr","May","Jun","Jul","Aug","Sep","Oct","Nov","Dec")&amp;" Y"&amp;AA4</f>
        <v/>
      </c>
      <c r="AB2" s="18">
        <f>CHOOSE(AB5,"Jan","Feb","Mar","Apr","May","Jun","Jul","Aug","Sep","Oct","Nov","Dec")&amp;" Y"&amp;AB4</f>
        <v/>
      </c>
      <c r="AC2" s="18">
        <f>CHOOSE(AC5,"Jan","Feb","Mar","Apr","May","Jun","Jul","Aug","Sep","Oct","Nov","Dec")&amp;" Y"&amp;AC4</f>
        <v/>
      </c>
      <c r="AD2" s="18">
        <f>CHOOSE(AD5,"Jan","Feb","Mar","Apr","May","Jun","Jul","Aug","Sep","Oct","Nov","Dec")&amp;" Y"&amp;AD4</f>
        <v/>
      </c>
      <c r="AE2" s="18">
        <f>CHOOSE(AE5,"Jan","Feb","Mar","Apr","May","Jun","Jul","Aug","Sep","Oct","Nov","Dec")&amp;" Y"&amp;AE4</f>
        <v/>
      </c>
      <c r="AF2" s="18">
        <f>CHOOSE(AF5,"Jan","Feb","Mar","Apr","May","Jun","Jul","Aug","Sep","Oct","Nov","Dec")&amp;" Y"&amp;AF4</f>
        <v/>
      </c>
      <c r="AG2" s="18">
        <f>CHOOSE(AG5,"Jan","Feb","Mar","Apr","May","Jun","Jul","Aug","Sep","Oct","Nov","Dec")&amp;" Y"&amp;AG4</f>
        <v/>
      </c>
      <c r="AH2" s="18">
        <f>CHOOSE(AH5,"Jan","Feb","Mar","Apr","May","Jun","Jul","Aug","Sep","Oct","Nov","Dec")&amp;" Y"&amp;AH4</f>
        <v/>
      </c>
      <c r="AI2" s="18">
        <f>CHOOSE(AI5,"Jan","Feb","Mar","Apr","May","Jun","Jul","Aug","Sep","Oct","Nov","Dec")&amp;" Y"&amp;AI4</f>
        <v/>
      </c>
      <c r="AJ2" s="18">
        <f>CHOOSE(AJ5,"Jan","Feb","Mar","Apr","May","Jun","Jul","Aug","Sep","Oct","Nov","Dec")&amp;" Y"&amp;AJ4</f>
        <v/>
      </c>
      <c r="AK2" s="18">
        <f>CHOOSE(AK5,"Jan","Feb","Mar","Apr","May","Jun","Jul","Aug","Sep","Oct","Nov","Dec")&amp;" Y"&amp;AK4</f>
        <v/>
      </c>
      <c r="AL2" s="18">
        <f>CHOOSE(AL5,"Jan","Feb","Mar","Apr","May","Jun","Jul","Aug","Sep","Oct","Nov","Dec")&amp;" Y"&amp;AL4</f>
        <v/>
      </c>
      <c r="AM2" s="18">
        <f>CHOOSE(AM5,"Jan","Feb","Mar","Apr","May","Jun","Jul","Aug","Sep","Oct","Nov","Dec")&amp;" Y"&amp;AM4</f>
        <v/>
      </c>
      <c r="AN2" s="18">
        <f>CHOOSE(AN5,"Jan","Feb","Mar","Apr","May","Jun","Jul","Aug","Sep","Oct","Nov","Dec")&amp;" Y"&amp;AN4</f>
        <v/>
      </c>
      <c r="AO2" s="18">
        <f>CHOOSE(AO5,"Jan","Feb","Mar","Apr","May","Jun","Jul","Aug","Sep","Oct","Nov","Dec")&amp;" Y"&amp;AO4</f>
        <v/>
      </c>
      <c r="AP2" s="18">
        <f>CHOOSE(AP5,"Jan","Feb","Mar","Apr","May","Jun","Jul","Aug","Sep","Oct","Nov","Dec")&amp;" Y"&amp;AP4</f>
        <v/>
      </c>
      <c r="AQ2" s="18">
        <f>CHOOSE(AQ5,"Jan","Feb","Mar","Apr","May","Jun","Jul","Aug","Sep","Oct","Nov","Dec")&amp;" Y"&amp;AQ4</f>
        <v/>
      </c>
      <c r="AR2" s="18">
        <f>CHOOSE(AR5,"Jan","Feb","Mar","Apr","May","Jun","Jul","Aug","Sep","Oct","Nov","Dec")&amp;" Y"&amp;AR4</f>
        <v/>
      </c>
      <c r="AS2" s="18">
        <f>CHOOSE(AS5,"Jan","Feb","Mar","Apr","May","Jun","Jul","Aug","Sep","Oct","Nov","Dec")&amp;" Y"&amp;AS4</f>
        <v/>
      </c>
      <c r="AT2" s="18">
        <f>CHOOSE(AT5,"Jan","Feb","Mar","Apr","May","Jun","Jul","Aug","Sep","Oct","Nov","Dec")&amp;" Y"&amp;AT4</f>
        <v/>
      </c>
      <c r="AU2" s="18">
        <f>CHOOSE(AU5,"Jan","Feb","Mar","Apr","May","Jun","Jul","Aug","Sep","Oct","Nov","Dec")&amp;" Y"&amp;AU4</f>
        <v/>
      </c>
      <c r="AV2" s="18">
        <f>CHOOSE(AV5,"Jan","Feb","Mar","Apr","May","Jun","Jul","Aug","Sep","Oct","Nov","Dec")&amp;" Y"&amp;AV4</f>
        <v/>
      </c>
      <c r="AW2" s="18">
        <f>CHOOSE(AW5,"Jan","Feb","Mar","Apr","May","Jun","Jul","Aug","Sep","Oct","Nov","Dec")&amp;" Y"&amp;AW4</f>
        <v/>
      </c>
      <c r="AX2" s="18">
        <f>CHOOSE(AX5,"Jan","Feb","Mar","Apr","May","Jun","Jul","Aug","Sep","Oct","Nov","Dec")&amp;" Y"&amp;AX4</f>
        <v/>
      </c>
      <c r="AY2" s="18">
        <f>CHOOSE(AY5,"Jan","Feb","Mar","Apr","May","Jun","Jul","Aug","Sep","Oct","Nov","Dec")&amp;" Y"&amp;AY4</f>
        <v/>
      </c>
      <c r="AZ2" s="18">
        <f>CHOOSE(AZ5,"Jan","Feb","Mar","Apr","May","Jun","Jul","Aug","Sep","Oct","Nov","Dec")&amp;" Y"&amp;AZ4</f>
        <v/>
      </c>
      <c r="BA2" s="18">
        <f>CHOOSE(BA5,"Jan","Feb","Mar","Apr","May","Jun","Jul","Aug","Sep","Oct","Nov","Dec")&amp;" Y"&amp;BA4</f>
        <v/>
      </c>
      <c r="BB2" s="18">
        <f>CHOOSE(BB5,"Jan","Feb","Mar","Apr","May","Jun","Jul","Aug","Sep","Oct","Nov","Dec")&amp;" Y"&amp;BB4</f>
        <v/>
      </c>
      <c r="BC2" s="18">
        <f>CHOOSE(BC5,"Jan","Feb","Mar","Apr","May","Jun","Jul","Aug","Sep","Oct","Nov","Dec")&amp;" Y"&amp;BC4</f>
        <v/>
      </c>
      <c r="BD2" s="18">
        <f>CHOOSE(BD5,"Jan","Feb","Mar","Apr","May","Jun","Jul","Aug","Sep","Oct","Nov","Dec")&amp;" Y"&amp;BD4</f>
        <v/>
      </c>
      <c r="BE2" s="18">
        <f>CHOOSE(BE5,"Jan","Feb","Mar","Apr","May","Jun","Jul","Aug","Sep","Oct","Nov","Dec")&amp;" Y"&amp;BE4</f>
        <v/>
      </c>
      <c r="BF2" s="18">
        <f>CHOOSE(BF5,"Jan","Feb","Mar","Apr","May","Jun","Jul","Aug","Sep","Oct","Nov","Dec")&amp;" Y"&amp;BF4</f>
        <v/>
      </c>
      <c r="BG2" s="18">
        <f>CHOOSE(BG5,"Jan","Feb","Mar","Apr","May","Jun","Jul","Aug","Sep","Oct","Nov","Dec")&amp;" Y"&amp;BG4</f>
        <v/>
      </c>
      <c r="BH2" s="18">
        <f>CHOOSE(BH5,"Jan","Feb","Mar","Apr","May","Jun","Jul","Aug","Sep","Oct","Nov","Dec")&amp;" Y"&amp;BH4</f>
        <v/>
      </c>
      <c r="BI2" s="18">
        <f>CHOOSE(BI5,"Jan","Feb","Mar","Apr","May","Jun","Jul","Aug","Sep","Oct","Nov","Dec")&amp;" Y"&amp;BI4</f>
        <v/>
      </c>
      <c r="BJ2" s="18">
        <f>CHOOSE(BJ5,"Jan","Feb","Mar","Apr","May","Jun","Jul","Aug","Sep","Oct","Nov","Dec")&amp;" Y"&amp;BJ4</f>
        <v/>
      </c>
    </row>
    <row r="3">
      <c r="A3" t="inlineStr">
        <is>
          <t>Month #</t>
        </is>
      </c>
      <c r="C3" s="7" t="n">
        <v>1</v>
      </c>
      <c r="D3" s="7" t="n">
        <v>2</v>
      </c>
      <c r="E3" s="7" t="n">
        <v>3</v>
      </c>
      <c r="F3" s="7" t="n">
        <v>4</v>
      </c>
      <c r="G3" s="7" t="n">
        <v>5</v>
      </c>
      <c r="H3" s="7" t="n">
        <v>6</v>
      </c>
      <c r="I3" s="7" t="n">
        <v>7</v>
      </c>
      <c r="J3" s="7" t="n">
        <v>8</v>
      </c>
      <c r="K3" s="7" t="n">
        <v>9</v>
      </c>
      <c r="L3" s="7" t="n">
        <v>10</v>
      </c>
      <c r="M3" s="7" t="n">
        <v>11</v>
      </c>
      <c r="N3" s="7" t="n">
        <v>12</v>
      </c>
      <c r="O3" s="7" t="n">
        <v>13</v>
      </c>
      <c r="P3" s="7" t="n">
        <v>14</v>
      </c>
      <c r="Q3" s="7" t="n">
        <v>15</v>
      </c>
      <c r="R3" s="7" t="n">
        <v>16</v>
      </c>
      <c r="S3" s="7" t="n">
        <v>17</v>
      </c>
      <c r="T3" s="7" t="n">
        <v>18</v>
      </c>
      <c r="U3" s="7" t="n">
        <v>19</v>
      </c>
      <c r="V3" s="7" t="n">
        <v>20</v>
      </c>
      <c r="W3" s="7" t="n">
        <v>21</v>
      </c>
      <c r="X3" s="7" t="n">
        <v>22</v>
      </c>
      <c r="Y3" s="7" t="n">
        <v>23</v>
      </c>
      <c r="Z3" s="7" t="n">
        <v>24</v>
      </c>
      <c r="AA3" s="7" t="n">
        <v>25</v>
      </c>
      <c r="AB3" s="7" t="n">
        <v>26</v>
      </c>
      <c r="AC3" s="7" t="n">
        <v>27</v>
      </c>
      <c r="AD3" s="7" t="n">
        <v>28</v>
      </c>
      <c r="AE3" s="7" t="n">
        <v>29</v>
      </c>
      <c r="AF3" s="7" t="n">
        <v>30</v>
      </c>
      <c r="AG3" s="7" t="n">
        <v>31</v>
      </c>
      <c r="AH3" s="7" t="n">
        <v>32</v>
      </c>
      <c r="AI3" s="7" t="n">
        <v>33</v>
      </c>
      <c r="AJ3" s="7" t="n">
        <v>34</v>
      </c>
      <c r="AK3" s="7" t="n">
        <v>35</v>
      </c>
      <c r="AL3" s="7" t="n">
        <v>36</v>
      </c>
      <c r="AM3" s="7" t="n">
        <v>37</v>
      </c>
      <c r="AN3" s="7" t="n">
        <v>38</v>
      </c>
      <c r="AO3" s="7" t="n">
        <v>39</v>
      </c>
      <c r="AP3" s="7" t="n">
        <v>40</v>
      </c>
      <c r="AQ3" s="7" t="n">
        <v>41</v>
      </c>
      <c r="AR3" s="7" t="n">
        <v>42</v>
      </c>
      <c r="AS3" s="7" t="n">
        <v>43</v>
      </c>
      <c r="AT3" s="7" t="n">
        <v>44</v>
      </c>
      <c r="AU3" s="7" t="n">
        <v>45</v>
      </c>
      <c r="AV3" s="7" t="n">
        <v>46</v>
      </c>
      <c r="AW3" s="7" t="n">
        <v>47</v>
      </c>
      <c r="AX3" s="7" t="n">
        <v>48</v>
      </c>
      <c r="AY3" s="7" t="n">
        <v>49</v>
      </c>
      <c r="AZ3" s="7" t="n">
        <v>50</v>
      </c>
      <c r="BA3" s="7" t="n">
        <v>51</v>
      </c>
      <c r="BB3" s="7" t="n">
        <v>52</v>
      </c>
      <c r="BC3" s="7" t="n">
        <v>53</v>
      </c>
      <c r="BD3" s="7" t="n">
        <v>54</v>
      </c>
      <c r="BE3" s="7" t="n">
        <v>55</v>
      </c>
      <c r="BF3" s="7" t="n">
        <v>56</v>
      </c>
      <c r="BG3" s="7" t="n">
        <v>57</v>
      </c>
      <c r="BH3" s="7" t="n">
        <v>58</v>
      </c>
      <c r="BI3" s="7" t="n">
        <v>59</v>
      </c>
      <c r="BJ3" s="7" t="n">
        <v>60</v>
      </c>
    </row>
    <row r="4">
      <c r="A4" t="inlineStr">
        <is>
          <t>Year</t>
        </is>
      </c>
      <c r="C4" s="7">
        <f>INT((C3-1)/12)+1</f>
        <v/>
      </c>
      <c r="D4" s="7">
        <f>INT((D3-1)/12)+1</f>
        <v/>
      </c>
      <c r="E4" s="7">
        <f>INT((E3-1)/12)+1</f>
        <v/>
      </c>
      <c r="F4" s="7">
        <f>INT((F3-1)/12)+1</f>
        <v/>
      </c>
      <c r="G4" s="7">
        <f>INT((G3-1)/12)+1</f>
        <v/>
      </c>
      <c r="H4" s="7">
        <f>INT((H3-1)/12)+1</f>
        <v/>
      </c>
      <c r="I4" s="7">
        <f>INT((I3-1)/12)+1</f>
        <v/>
      </c>
      <c r="J4" s="7">
        <f>INT((J3-1)/12)+1</f>
        <v/>
      </c>
      <c r="K4" s="7">
        <f>INT((K3-1)/12)+1</f>
        <v/>
      </c>
      <c r="L4" s="7">
        <f>INT((L3-1)/12)+1</f>
        <v/>
      </c>
      <c r="M4" s="7">
        <f>INT((M3-1)/12)+1</f>
        <v/>
      </c>
      <c r="N4" s="7">
        <f>INT((N3-1)/12)+1</f>
        <v/>
      </c>
      <c r="O4" s="7">
        <f>INT((O3-1)/12)+1</f>
        <v/>
      </c>
      <c r="P4" s="7">
        <f>INT((P3-1)/12)+1</f>
        <v/>
      </c>
      <c r="Q4" s="7">
        <f>INT((Q3-1)/12)+1</f>
        <v/>
      </c>
      <c r="R4" s="7">
        <f>INT((R3-1)/12)+1</f>
        <v/>
      </c>
      <c r="S4" s="7">
        <f>INT((S3-1)/12)+1</f>
        <v/>
      </c>
      <c r="T4" s="7">
        <f>INT((T3-1)/12)+1</f>
        <v/>
      </c>
      <c r="U4" s="7">
        <f>INT((U3-1)/12)+1</f>
        <v/>
      </c>
      <c r="V4" s="7">
        <f>INT((V3-1)/12)+1</f>
        <v/>
      </c>
      <c r="W4" s="7">
        <f>INT((W3-1)/12)+1</f>
        <v/>
      </c>
      <c r="X4" s="7">
        <f>INT((X3-1)/12)+1</f>
        <v/>
      </c>
      <c r="Y4" s="7">
        <f>INT((Y3-1)/12)+1</f>
        <v/>
      </c>
      <c r="Z4" s="7">
        <f>INT((Z3-1)/12)+1</f>
        <v/>
      </c>
      <c r="AA4" s="7">
        <f>INT((AA3-1)/12)+1</f>
        <v/>
      </c>
      <c r="AB4" s="7">
        <f>INT((AB3-1)/12)+1</f>
        <v/>
      </c>
      <c r="AC4" s="7">
        <f>INT((AC3-1)/12)+1</f>
        <v/>
      </c>
      <c r="AD4" s="7">
        <f>INT((AD3-1)/12)+1</f>
        <v/>
      </c>
      <c r="AE4" s="7">
        <f>INT((AE3-1)/12)+1</f>
        <v/>
      </c>
      <c r="AF4" s="7">
        <f>INT((AF3-1)/12)+1</f>
        <v/>
      </c>
      <c r="AG4" s="7">
        <f>INT((AG3-1)/12)+1</f>
        <v/>
      </c>
      <c r="AH4" s="7">
        <f>INT((AH3-1)/12)+1</f>
        <v/>
      </c>
      <c r="AI4" s="7">
        <f>INT((AI3-1)/12)+1</f>
        <v/>
      </c>
      <c r="AJ4" s="7">
        <f>INT((AJ3-1)/12)+1</f>
        <v/>
      </c>
      <c r="AK4" s="7">
        <f>INT((AK3-1)/12)+1</f>
        <v/>
      </c>
      <c r="AL4" s="7">
        <f>INT((AL3-1)/12)+1</f>
        <v/>
      </c>
      <c r="AM4" s="7">
        <f>INT((AM3-1)/12)+1</f>
        <v/>
      </c>
      <c r="AN4" s="7">
        <f>INT((AN3-1)/12)+1</f>
        <v/>
      </c>
      <c r="AO4" s="7">
        <f>INT((AO3-1)/12)+1</f>
        <v/>
      </c>
      <c r="AP4" s="7">
        <f>INT((AP3-1)/12)+1</f>
        <v/>
      </c>
      <c r="AQ4" s="7">
        <f>INT((AQ3-1)/12)+1</f>
        <v/>
      </c>
      <c r="AR4" s="7">
        <f>INT((AR3-1)/12)+1</f>
        <v/>
      </c>
      <c r="AS4" s="7">
        <f>INT((AS3-1)/12)+1</f>
        <v/>
      </c>
      <c r="AT4" s="7">
        <f>INT((AT3-1)/12)+1</f>
        <v/>
      </c>
      <c r="AU4" s="7">
        <f>INT((AU3-1)/12)+1</f>
        <v/>
      </c>
      <c r="AV4" s="7">
        <f>INT((AV3-1)/12)+1</f>
        <v/>
      </c>
      <c r="AW4" s="7">
        <f>INT((AW3-1)/12)+1</f>
        <v/>
      </c>
      <c r="AX4" s="7">
        <f>INT((AX3-1)/12)+1</f>
        <v/>
      </c>
      <c r="AY4" s="7">
        <f>INT((AY3-1)/12)+1</f>
        <v/>
      </c>
      <c r="AZ4" s="7">
        <f>INT((AZ3-1)/12)+1</f>
        <v/>
      </c>
      <c r="BA4" s="7">
        <f>INT((BA3-1)/12)+1</f>
        <v/>
      </c>
      <c r="BB4" s="7">
        <f>INT((BB3-1)/12)+1</f>
        <v/>
      </c>
      <c r="BC4" s="7">
        <f>INT((BC3-1)/12)+1</f>
        <v/>
      </c>
      <c r="BD4" s="7">
        <f>INT((BD3-1)/12)+1</f>
        <v/>
      </c>
      <c r="BE4" s="7">
        <f>INT((BE3-1)/12)+1</f>
        <v/>
      </c>
      <c r="BF4" s="7">
        <f>INT((BF3-1)/12)+1</f>
        <v/>
      </c>
      <c r="BG4" s="7">
        <f>INT((BG3-1)/12)+1</f>
        <v/>
      </c>
      <c r="BH4" s="7">
        <f>INT((BH3-1)/12)+1</f>
        <v/>
      </c>
      <c r="BI4" s="7">
        <f>INT((BI3-1)/12)+1</f>
        <v/>
      </c>
      <c r="BJ4" s="7">
        <f>INT((BJ3-1)/12)+1</f>
        <v/>
      </c>
    </row>
    <row r="5">
      <c r="A5" t="inlineStr">
        <is>
          <t>Calendar month (1-12)</t>
        </is>
      </c>
      <c r="C5" s="7">
        <f>MOD(Inputs!$F$8-1+C3-1,12)+1</f>
        <v/>
      </c>
      <c r="D5" s="7">
        <f>MOD(Inputs!$F$8-1+D3-1,12)+1</f>
        <v/>
      </c>
      <c r="E5" s="7">
        <f>MOD(Inputs!$F$8-1+E3-1,12)+1</f>
        <v/>
      </c>
      <c r="F5" s="7">
        <f>MOD(Inputs!$F$8-1+F3-1,12)+1</f>
        <v/>
      </c>
      <c r="G5" s="7">
        <f>MOD(Inputs!$F$8-1+G3-1,12)+1</f>
        <v/>
      </c>
      <c r="H5" s="7">
        <f>MOD(Inputs!$F$8-1+H3-1,12)+1</f>
        <v/>
      </c>
      <c r="I5" s="7">
        <f>MOD(Inputs!$F$8-1+I3-1,12)+1</f>
        <v/>
      </c>
      <c r="J5" s="7">
        <f>MOD(Inputs!$F$8-1+J3-1,12)+1</f>
        <v/>
      </c>
      <c r="K5" s="7">
        <f>MOD(Inputs!$F$8-1+K3-1,12)+1</f>
        <v/>
      </c>
      <c r="L5" s="7">
        <f>MOD(Inputs!$F$8-1+L3-1,12)+1</f>
        <v/>
      </c>
      <c r="M5" s="7">
        <f>MOD(Inputs!$F$8-1+M3-1,12)+1</f>
        <v/>
      </c>
      <c r="N5" s="7">
        <f>MOD(Inputs!$F$8-1+N3-1,12)+1</f>
        <v/>
      </c>
      <c r="O5" s="7">
        <f>MOD(Inputs!$F$8-1+O3-1,12)+1</f>
        <v/>
      </c>
      <c r="P5" s="7">
        <f>MOD(Inputs!$F$8-1+P3-1,12)+1</f>
        <v/>
      </c>
      <c r="Q5" s="7">
        <f>MOD(Inputs!$F$8-1+Q3-1,12)+1</f>
        <v/>
      </c>
      <c r="R5" s="7">
        <f>MOD(Inputs!$F$8-1+R3-1,12)+1</f>
        <v/>
      </c>
      <c r="S5" s="7">
        <f>MOD(Inputs!$F$8-1+S3-1,12)+1</f>
        <v/>
      </c>
      <c r="T5" s="7">
        <f>MOD(Inputs!$F$8-1+T3-1,12)+1</f>
        <v/>
      </c>
      <c r="U5" s="7">
        <f>MOD(Inputs!$F$8-1+U3-1,12)+1</f>
        <v/>
      </c>
      <c r="V5" s="7">
        <f>MOD(Inputs!$F$8-1+V3-1,12)+1</f>
        <v/>
      </c>
      <c r="W5" s="7">
        <f>MOD(Inputs!$F$8-1+W3-1,12)+1</f>
        <v/>
      </c>
      <c r="X5" s="7">
        <f>MOD(Inputs!$F$8-1+X3-1,12)+1</f>
        <v/>
      </c>
      <c r="Y5" s="7">
        <f>MOD(Inputs!$F$8-1+Y3-1,12)+1</f>
        <v/>
      </c>
      <c r="Z5" s="7">
        <f>MOD(Inputs!$F$8-1+Z3-1,12)+1</f>
        <v/>
      </c>
      <c r="AA5" s="7">
        <f>MOD(Inputs!$F$8-1+AA3-1,12)+1</f>
        <v/>
      </c>
      <c r="AB5" s="7">
        <f>MOD(Inputs!$F$8-1+AB3-1,12)+1</f>
        <v/>
      </c>
      <c r="AC5" s="7">
        <f>MOD(Inputs!$F$8-1+AC3-1,12)+1</f>
        <v/>
      </c>
      <c r="AD5" s="7">
        <f>MOD(Inputs!$F$8-1+AD3-1,12)+1</f>
        <v/>
      </c>
      <c r="AE5" s="7">
        <f>MOD(Inputs!$F$8-1+AE3-1,12)+1</f>
        <v/>
      </c>
      <c r="AF5" s="7">
        <f>MOD(Inputs!$F$8-1+AF3-1,12)+1</f>
        <v/>
      </c>
      <c r="AG5" s="7">
        <f>MOD(Inputs!$F$8-1+AG3-1,12)+1</f>
        <v/>
      </c>
      <c r="AH5" s="7">
        <f>MOD(Inputs!$F$8-1+AH3-1,12)+1</f>
        <v/>
      </c>
      <c r="AI5" s="7">
        <f>MOD(Inputs!$F$8-1+AI3-1,12)+1</f>
        <v/>
      </c>
      <c r="AJ5" s="7">
        <f>MOD(Inputs!$F$8-1+AJ3-1,12)+1</f>
        <v/>
      </c>
      <c r="AK5" s="7">
        <f>MOD(Inputs!$F$8-1+AK3-1,12)+1</f>
        <v/>
      </c>
      <c r="AL5" s="7">
        <f>MOD(Inputs!$F$8-1+AL3-1,12)+1</f>
        <v/>
      </c>
      <c r="AM5" s="7">
        <f>MOD(Inputs!$F$8-1+AM3-1,12)+1</f>
        <v/>
      </c>
      <c r="AN5" s="7">
        <f>MOD(Inputs!$F$8-1+AN3-1,12)+1</f>
        <v/>
      </c>
      <c r="AO5" s="7">
        <f>MOD(Inputs!$F$8-1+AO3-1,12)+1</f>
        <v/>
      </c>
      <c r="AP5" s="7">
        <f>MOD(Inputs!$F$8-1+AP3-1,12)+1</f>
        <v/>
      </c>
      <c r="AQ5" s="7">
        <f>MOD(Inputs!$F$8-1+AQ3-1,12)+1</f>
        <v/>
      </c>
      <c r="AR5" s="7">
        <f>MOD(Inputs!$F$8-1+AR3-1,12)+1</f>
        <v/>
      </c>
      <c r="AS5" s="7">
        <f>MOD(Inputs!$F$8-1+AS3-1,12)+1</f>
        <v/>
      </c>
      <c r="AT5" s="7">
        <f>MOD(Inputs!$F$8-1+AT3-1,12)+1</f>
        <v/>
      </c>
      <c r="AU5" s="7">
        <f>MOD(Inputs!$F$8-1+AU3-1,12)+1</f>
        <v/>
      </c>
      <c r="AV5" s="7">
        <f>MOD(Inputs!$F$8-1+AV3-1,12)+1</f>
        <v/>
      </c>
      <c r="AW5" s="7">
        <f>MOD(Inputs!$F$8-1+AW3-1,12)+1</f>
        <v/>
      </c>
      <c r="AX5" s="7">
        <f>MOD(Inputs!$F$8-1+AX3-1,12)+1</f>
        <v/>
      </c>
      <c r="AY5" s="7">
        <f>MOD(Inputs!$F$8-1+AY3-1,12)+1</f>
        <v/>
      </c>
      <c r="AZ5" s="7">
        <f>MOD(Inputs!$F$8-1+AZ3-1,12)+1</f>
        <v/>
      </c>
      <c r="BA5" s="7">
        <f>MOD(Inputs!$F$8-1+BA3-1,12)+1</f>
        <v/>
      </c>
      <c r="BB5" s="7">
        <f>MOD(Inputs!$F$8-1+BB3-1,12)+1</f>
        <v/>
      </c>
      <c r="BC5" s="7">
        <f>MOD(Inputs!$F$8-1+BC3-1,12)+1</f>
        <v/>
      </c>
      <c r="BD5" s="7">
        <f>MOD(Inputs!$F$8-1+BD3-1,12)+1</f>
        <v/>
      </c>
      <c r="BE5" s="7">
        <f>MOD(Inputs!$F$8-1+BE3-1,12)+1</f>
        <v/>
      </c>
      <c r="BF5" s="7">
        <f>MOD(Inputs!$F$8-1+BF3-1,12)+1</f>
        <v/>
      </c>
      <c r="BG5" s="7">
        <f>MOD(Inputs!$F$8-1+BG3-1,12)+1</f>
        <v/>
      </c>
      <c r="BH5" s="7">
        <f>MOD(Inputs!$F$8-1+BH3-1,12)+1</f>
        <v/>
      </c>
      <c r="BI5" s="7">
        <f>MOD(Inputs!$F$8-1+BI3-1,12)+1</f>
        <v/>
      </c>
      <c r="BJ5" s="7">
        <f>MOD(Inputs!$F$8-1+BJ3-1,12)+1</f>
        <v/>
      </c>
    </row>
    <row r="6">
      <c r="A6" t="inlineStr">
        <is>
          <t>Trading days</t>
        </is>
      </c>
      <c r="C6" s="24">
        <f>CHOOSE(C5,31,28,31,30,31,30,31,31,30,31,30,31)*Inputs!$F$9/365</f>
        <v/>
      </c>
      <c r="D6" s="24">
        <f>CHOOSE(D5,31,28,31,30,31,30,31,31,30,31,30,31)*Inputs!$F$9/365</f>
        <v/>
      </c>
      <c r="E6" s="24">
        <f>CHOOSE(E5,31,28,31,30,31,30,31,31,30,31,30,31)*Inputs!$F$9/365</f>
        <v/>
      </c>
      <c r="F6" s="24">
        <f>CHOOSE(F5,31,28,31,30,31,30,31,31,30,31,30,31)*Inputs!$F$9/365</f>
        <v/>
      </c>
      <c r="G6" s="24">
        <f>CHOOSE(G5,31,28,31,30,31,30,31,31,30,31,30,31)*Inputs!$F$9/365</f>
        <v/>
      </c>
      <c r="H6" s="24">
        <f>CHOOSE(H5,31,28,31,30,31,30,31,31,30,31,30,31)*Inputs!$F$9/365</f>
        <v/>
      </c>
      <c r="I6" s="24">
        <f>CHOOSE(I5,31,28,31,30,31,30,31,31,30,31,30,31)*Inputs!$F$9/365</f>
        <v/>
      </c>
      <c r="J6" s="24">
        <f>CHOOSE(J5,31,28,31,30,31,30,31,31,30,31,30,31)*Inputs!$F$9/365</f>
        <v/>
      </c>
      <c r="K6" s="24">
        <f>CHOOSE(K5,31,28,31,30,31,30,31,31,30,31,30,31)*Inputs!$F$9/365</f>
        <v/>
      </c>
      <c r="L6" s="24">
        <f>CHOOSE(L5,31,28,31,30,31,30,31,31,30,31,30,31)*Inputs!$F$9/365</f>
        <v/>
      </c>
      <c r="M6" s="24">
        <f>CHOOSE(M5,31,28,31,30,31,30,31,31,30,31,30,31)*Inputs!$F$9/365</f>
        <v/>
      </c>
      <c r="N6" s="24">
        <f>CHOOSE(N5,31,28,31,30,31,30,31,31,30,31,30,31)*Inputs!$F$9/365</f>
        <v/>
      </c>
      <c r="O6" s="24">
        <f>CHOOSE(O5,31,28,31,30,31,30,31,31,30,31,30,31)*Inputs!$F$9/365</f>
        <v/>
      </c>
      <c r="P6" s="24">
        <f>CHOOSE(P5,31,28,31,30,31,30,31,31,30,31,30,31)*Inputs!$F$9/365</f>
        <v/>
      </c>
      <c r="Q6" s="24">
        <f>CHOOSE(Q5,31,28,31,30,31,30,31,31,30,31,30,31)*Inputs!$F$9/365</f>
        <v/>
      </c>
      <c r="R6" s="24">
        <f>CHOOSE(R5,31,28,31,30,31,30,31,31,30,31,30,31)*Inputs!$F$9/365</f>
        <v/>
      </c>
      <c r="S6" s="24">
        <f>CHOOSE(S5,31,28,31,30,31,30,31,31,30,31,30,31)*Inputs!$F$9/365</f>
        <v/>
      </c>
      <c r="T6" s="24">
        <f>CHOOSE(T5,31,28,31,30,31,30,31,31,30,31,30,31)*Inputs!$F$9/365</f>
        <v/>
      </c>
      <c r="U6" s="24">
        <f>CHOOSE(U5,31,28,31,30,31,30,31,31,30,31,30,31)*Inputs!$F$9/365</f>
        <v/>
      </c>
      <c r="V6" s="24">
        <f>CHOOSE(V5,31,28,31,30,31,30,31,31,30,31,30,31)*Inputs!$F$9/365</f>
        <v/>
      </c>
      <c r="W6" s="24">
        <f>CHOOSE(W5,31,28,31,30,31,30,31,31,30,31,30,31)*Inputs!$F$9/365</f>
        <v/>
      </c>
      <c r="X6" s="24">
        <f>CHOOSE(X5,31,28,31,30,31,30,31,31,30,31,30,31)*Inputs!$F$9/365</f>
        <v/>
      </c>
      <c r="Y6" s="24">
        <f>CHOOSE(Y5,31,28,31,30,31,30,31,31,30,31,30,31)*Inputs!$F$9/365</f>
        <v/>
      </c>
      <c r="Z6" s="24">
        <f>CHOOSE(Z5,31,28,31,30,31,30,31,31,30,31,30,31)*Inputs!$F$9/365</f>
        <v/>
      </c>
      <c r="AA6" s="24">
        <f>CHOOSE(AA5,31,28,31,30,31,30,31,31,30,31,30,31)*Inputs!$F$9/365</f>
        <v/>
      </c>
      <c r="AB6" s="24">
        <f>CHOOSE(AB5,31,28,31,30,31,30,31,31,30,31,30,31)*Inputs!$F$9/365</f>
        <v/>
      </c>
      <c r="AC6" s="24">
        <f>CHOOSE(AC5,31,28,31,30,31,30,31,31,30,31,30,31)*Inputs!$F$9/365</f>
        <v/>
      </c>
      <c r="AD6" s="24">
        <f>CHOOSE(AD5,31,28,31,30,31,30,31,31,30,31,30,31)*Inputs!$F$9/365</f>
        <v/>
      </c>
      <c r="AE6" s="24">
        <f>CHOOSE(AE5,31,28,31,30,31,30,31,31,30,31,30,31)*Inputs!$F$9/365</f>
        <v/>
      </c>
      <c r="AF6" s="24">
        <f>CHOOSE(AF5,31,28,31,30,31,30,31,31,30,31,30,31)*Inputs!$F$9/365</f>
        <v/>
      </c>
      <c r="AG6" s="24">
        <f>CHOOSE(AG5,31,28,31,30,31,30,31,31,30,31,30,31)*Inputs!$F$9/365</f>
        <v/>
      </c>
      <c r="AH6" s="24">
        <f>CHOOSE(AH5,31,28,31,30,31,30,31,31,30,31,30,31)*Inputs!$F$9/365</f>
        <v/>
      </c>
      <c r="AI6" s="24">
        <f>CHOOSE(AI5,31,28,31,30,31,30,31,31,30,31,30,31)*Inputs!$F$9/365</f>
        <v/>
      </c>
      <c r="AJ6" s="24">
        <f>CHOOSE(AJ5,31,28,31,30,31,30,31,31,30,31,30,31)*Inputs!$F$9/365</f>
        <v/>
      </c>
      <c r="AK6" s="24">
        <f>CHOOSE(AK5,31,28,31,30,31,30,31,31,30,31,30,31)*Inputs!$F$9/365</f>
        <v/>
      </c>
      <c r="AL6" s="24">
        <f>CHOOSE(AL5,31,28,31,30,31,30,31,31,30,31,30,31)*Inputs!$F$9/365</f>
        <v/>
      </c>
      <c r="AM6" s="24">
        <f>CHOOSE(AM5,31,28,31,30,31,30,31,31,30,31,30,31)*Inputs!$F$9/365</f>
        <v/>
      </c>
      <c r="AN6" s="24">
        <f>CHOOSE(AN5,31,28,31,30,31,30,31,31,30,31,30,31)*Inputs!$F$9/365</f>
        <v/>
      </c>
      <c r="AO6" s="24">
        <f>CHOOSE(AO5,31,28,31,30,31,30,31,31,30,31,30,31)*Inputs!$F$9/365</f>
        <v/>
      </c>
      <c r="AP6" s="24">
        <f>CHOOSE(AP5,31,28,31,30,31,30,31,31,30,31,30,31)*Inputs!$F$9/365</f>
        <v/>
      </c>
      <c r="AQ6" s="24">
        <f>CHOOSE(AQ5,31,28,31,30,31,30,31,31,30,31,30,31)*Inputs!$F$9/365</f>
        <v/>
      </c>
      <c r="AR6" s="24">
        <f>CHOOSE(AR5,31,28,31,30,31,30,31,31,30,31,30,31)*Inputs!$F$9/365</f>
        <v/>
      </c>
      <c r="AS6" s="24">
        <f>CHOOSE(AS5,31,28,31,30,31,30,31,31,30,31,30,31)*Inputs!$F$9/365</f>
        <v/>
      </c>
      <c r="AT6" s="24">
        <f>CHOOSE(AT5,31,28,31,30,31,30,31,31,30,31,30,31)*Inputs!$F$9/365</f>
        <v/>
      </c>
      <c r="AU6" s="24">
        <f>CHOOSE(AU5,31,28,31,30,31,30,31,31,30,31,30,31)*Inputs!$F$9/365</f>
        <v/>
      </c>
      <c r="AV6" s="24">
        <f>CHOOSE(AV5,31,28,31,30,31,30,31,31,30,31,30,31)*Inputs!$F$9/365</f>
        <v/>
      </c>
      <c r="AW6" s="24">
        <f>CHOOSE(AW5,31,28,31,30,31,30,31,31,30,31,30,31)*Inputs!$F$9/365</f>
        <v/>
      </c>
      <c r="AX6" s="24">
        <f>CHOOSE(AX5,31,28,31,30,31,30,31,31,30,31,30,31)*Inputs!$F$9/365</f>
        <v/>
      </c>
      <c r="AY6" s="24">
        <f>CHOOSE(AY5,31,28,31,30,31,30,31,31,30,31,30,31)*Inputs!$F$9/365</f>
        <v/>
      </c>
      <c r="AZ6" s="24">
        <f>CHOOSE(AZ5,31,28,31,30,31,30,31,31,30,31,30,31)*Inputs!$F$9/365</f>
        <v/>
      </c>
      <c r="BA6" s="24">
        <f>CHOOSE(BA5,31,28,31,30,31,30,31,31,30,31,30,31)*Inputs!$F$9/365</f>
        <v/>
      </c>
      <c r="BB6" s="24">
        <f>CHOOSE(BB5,31,28,31,30,31,30,31,31,30,31,30,31)*Inputs!$F$9/365</f>
        <v/>
      </c>
      <c r="BC6" s="24">
        <f>CHOOSE(BC5,31,28,31,30,31,30,31,31,30,31,30,31)*Inputs!$F$9/365</f>
        <v/>
      </c>
      <c r="BD6" s="24">
        <f>CHOOSE(BD5,31,28,31,30,31,30,31,31,30,31,30,31)*Inputs!$F$9/365</f>
        <v/>
      </c>
      <c r="BE6" s="24">
        <f>CHOOSE(BE5,31,28,31,30,31,30,31,31,30,31,30,31)*Inputs!$F$9/365</f>
        <v/>
      </c>
      <c r="BF6" s="24">
        <f>CHOOSE(BF5,31,28,31,30,31,30,31,31,30,31,30,31)*Inputs!$F$9/365</f>
        <v/>
      </c>
      <c r="BG6" s="24">
        <f>CHOOSE(BG5,31,28,31,30,31,30,31,31,30,31,30,31)*Inputs!$F$9/365</f>
        <v/>
      </c>
      <c r="BH6" s="24">
        <f>CHOOSE(BH5,31,28,31,30,31,30,31,31,30,31,30,31)*Inputs!$F$9/365</f>
        <v/>
      </c>
      <c r="BI6" s="24">
        <f>CHOOSE(BI5,31,28,31,30,31,30,31,31,30,31,30,31)*Inputs!$F$9/365</f>
        <v/>
      </c>
      <c r="BJ6" s="24">
        <f>CHOOSE(BJ5,31,28,31,30,31,30,31,31,30,31,30,31)*Inputs!$F$9/365</f>
        <v/>
      </c>
    </row>
    <row r="7">
      <c r="A7" t="inlineStr">
        <is>
          <t>Seasonality index</t>
        </is>
      </c>
      <c r="C7" s="24">
        <f>INDEX(Inputs!$F$31:$F$42,C5)</f>
        <v/>
      </c>
      <c r="D7" s="24">
        <f>INDEX(Inputs!$F$31:$F$42,D5)</f>
        <v/>
      </c>
      <c r="E7" s="24">
        <f>INDEX(Inputs!$F$31:$F$42,E5)</f>
        <v/>
      </c>
      <c r="F7" s="24">
        <f>INDEX(Inputs!$F$31:$F$42,F5)</f>
        <v/>
      </c>
      <c r="G7" s="24">
        <f>INDEX(Inputs!$F$31:$F$42,G5)</f>
        <v/>
      </c>
      <c r="H7" s="24">
        <f>INDEX(Inputs!$F$31:$F$42,H5)</f>
        <v/>
      </c>
      <c r="I7" s="24">
        <f>INDEX(Inputs!$F$31:$F$42,I5)</f>
        <v/>
      </c>
      <c r="J7" s="24">
        <f>INDEX(Inputs!$F$31:$F$42,J5)</f>
        <v/>
      </c>
      <c r="K7" s="24">
        <f>INDEX(Inputs!$F$31:$F$42,K5)</f>
        <v/>
      </c>
      <c r="L7" s="24">
        <f>INDEX(Inputs!$F$31:$F$42,L5)</f>
        <v/>
      </c>
      <c r="M7" s="24">
        <f>INDEX(Inputs!$F$31:$F$42,M5)</f>
        <v/>
      </c>
      <c r="N7" s="24">
        <f>INDEX(Inputs!$F$31:$F$42,N5)</f>
        <v/>
      </c>
      <c r="O7" s="24">
        <f>INDEX(Inputs!$F$31:$F$42,O5)</f>
        <v/>
      </c>
      <c r="P7" s="24">
        <f>INDEX(Inputs!$F$31:$F$42,P5)</f>
        <v/>
      </c>
      <c r="Q7" s="24">
        <f>INDEX(Inputs!$F$31:$F$42,Q5)</f>
        <v/>
      </c>
      <c r="R7" s="24">
        <f>INDEX(Inputs!$F$31:$F$42,R5)</f>
        <v/>
      </c>
      <c r="S7" s="24">
        <f>INDEX(Inputs!$F$31:$F$42,S5)</f>
        <v/>
      </c>
      <c r="T7" s="24">
        <f>INDEX(Inputs!$F$31:$F$42,T5)</f>
        <v/>
      </c>
      <c r="U7" s="24">
        <f>INDEX(Inputs!$F$31:$F$42,U5)</f>
        <v/>
      </c>
      <c r="V7" s="24">
        <f>INDEX(Inputs!$F$31:$F$42,V5)</f>
        <v/>
      </c>
      <c r="W7" s="24">
        <f>INDEX(Inputs!$F$31:$F$42,W5)</f>
        <v/>
      </c>
      <c r="X7" s="24">
        <f>INDEX(Inputs!$F$31:$F$42,X5)</f>
        <v/>
      </c>
      <c r="Y7" s="24">
        <f>INDEX(Inputs!$F$31:$F$42,Y5)</f>
        <v/>
      </c>
      <c r="Z7" s="24">
        <f>INDEX(Inputs!$F$31:$F$42,Z5)</f>
        <v/>
      </c>
      <c r="AA7" s="24">
        <f>INDEX(Inputs!$F$31:$F$42,AA5)</f>
        <v/>
      </c>
      <c r="AB7" s="24">
        <f>INDEX(Inputs!$F$31:$F$42,AB5)</f>
        <v/>
      </c>
      <c r="AC7" s="24">
        <f>INDEX(Inputs!$F$31:$F$42,AC5)</f>
        <v/>
      </c>
      <c r="AD7" s="24">
        <f>INDEX(Inputs!$F$31:$F$42,AD5)</f>
        <v/>
      </c>
      <c r="AE7" s="24">
        <f>INDEX(Inputs!$F$31:$F$42,AE5)</f>
        <v/>
      </c>
      <c r="AF7" s="24">
        <f>INDEX(Inputs!$F$31:$F$42,AF5)</f>
        <v/>
      </c>
      <c r="AG7" s="24">
        <f>INDEX(Inputs!$F$31:$F$42,AG5)</f>
        <v/>
      </c>
      <c r="AH7" s="24">
        <f>INDEX(Inputs!$F$31:$F$42,AH5)</f>
        <v/>
      </c>
      <c r="AI7" s="24">
        <f>INDEX(Inputs!$F$31:$F$42,AI5)</f>
        <v/>
      </c>
      <c r="AJ7" s="24">
        <f>INDEX(Inputs!$F$31:$F$42,AJ5)</f>
        <v/>
      </c>
      <c r="AK7" s="24">
        <f>INDEX(Inputs!$F$31:$F$42,AK5)</f>
        <v/>
      </c>
      <c r="AL7" s="24">
        <f>INDEX(Inputs!$F$31:$F$42,AL5)</f>
        <v/>
      </c>
      <c r="AM7" s="24">
        <f>INDEX(Inputs!$F$31:$F$42,AM5)</f>
        <v/>
      </c>
      <c r="AN7" s="24">
        <f>INDEX(Inputs!$F$31:$F$42,AN5)</f>
        <v/>
      </c>
      <c r="AO7" s="24">
        <f>INDEX(Inputs!$F$31:$F$42,AO5)</f>
        <v/>
      </c>
      <c r="AP7" s="24">
        <f>INDEX(Inputs!$F$31:$F$42,AP5)</f>
        <v/>
      </c>
      <c r="AQ7" s="24">
        <f>INDEX(Inputs!$F$31:$F$42,AQ5)</f>
        <v/>
      </c>
      <c r="AR7" s="24">
        <f>INDEX(Inputs!$F$31:$F$42,AR5)</f>
        <v/>
      </c>
      <c r="AS7" s="24">
        <f>INDEX(Inputs!$F$31:$F$42,AS5)</f>
        <v/>
      </c>
      <c r="AT7" s="24">
        <f>INDEX(Inputs!$F$31:$F$42,AT5)</f>
        <v/>
      </c>
      <c r="AU7" s="24">
        <f>INDEX(Inputs!$F$31:$F$42,AU5)</f>
        <v/>
      </c>
      <c r="AV7" s="24">
        <f>INDEX(Inputs!$F$31:$F$42,AV5)</f>
        <v/>
      </c>
      <c r="AW7" s="24">
        <f>INDEX(Inputs!$F$31:$F$42,AW5)</f>
        <v/>
      </c>
      <c r="AX7" s="24">
        <f>INDEX(Inputs!$F$31:$F$42,AX5)</f>
        <v/>
      </c>
      <c r="AY7" s="24">
        <f>INDEX(Inputs!$F$31:$F$42,AY5)</f>
        <v/>
      </c>
      <c r="AZ7" s="24">
        <f>INDEX(Inputs!$F$31:$F$42,AZ5)</f>
        <v/>
      </c>
      <c r="BA7" s="24">
        <f>INDEX(Inputs!$F$31:$F$42,BA5)</f>
        <v/>
      </c>
      <c r="BB7" s="24">
        <f>INDEX(Inputs!$F$31:$F$42,BB5)</f>
        <v/>
      </c>
      <c r="BC7" s="24">
        <f>INDEX(Inputs!$F$31:$F$42,BC5)</f>
        <v/>
      </c>
      <c r="BD7" s="24">
        <f>INDEX(Inputs!$F$31:$F$42,BD5)</f>
        <v/>
      </c>
      <c r="BE7" s="24">
        <f>INDEX(Inputs!$F$31:$F$42,BE5)</f>
        <v/>
      </c>
      <c r="BF7" s="24">
        <f>INDEX(Inputs!$F$31:$F$42,BF5)</f>
        <v/>
      </c>
      <c r="BG7" s="24">
        <f>INDEX(Inputs!$F$31:$F$42,BG5)</f>
        <v/>
      </c>
      <c r="BH7" s="24">
        <f>INDEX(Inputs!$F$31:$F$42,BH5)</f>
        <v/>
      </c>
      <c r="BI7" s="24">
        <f>INDEX(Inputs!$F$31:$F$42,BI5)</f>
        <v/>
      </c>
      <c r="BJ7" s="24">
        <f>INDEX(Inputs!$F$31:$F$42,BJ5)</f>
        <v/>
      </c>
    </row>
    <row r="8">
      <c r="A8" t="inlineStr">
        <is>
          <t>Passing traffic (veh/day)</t>
        </is>
      </c>
      <c r="C8" s="3">
        <f>Inputs!$F$21*(1+Inputs!$F$22)^(C4-1)*C7</f>
        <v/>
      </c>
      <c r="D8" s="3">
        <f>Inputs!$F$21*(1+Inputs!$F$22)^(D4-1)*D7</f>
        <v/>
      </c>
      <c r="E8" s="3">
        <f>Inputs!$F$21*(1+Inputs!$F$22)^(E4-1)*E7</f>
        <v/>
      </c>
      <c r="F8" s="3">
        <f>Inputs!$F$21*(1+Inputs!$F$22)^(F4-1)*F7</f>
        <v/>
      </c>
      <c r="G8" s="3">
        <f>Inputs!$F$21*(1+Inputs!$F$22)^(G4-1)*G7</f>
        <v/>
      </c>
      <c r="H8" s="3">
        <f>Inputs!$F$21*(1+Inputs!$F$22)^(H4-1)*H7</f>
        <v/>
      </c>
      <c r="I8" s="3">
        <f>Inputs!$F$21*(1+Inputs!$F$22)^(I4-1)*I7</f>
        <v/>
      </c>
      <c r="J8" s="3">
        <f>Inputs!$F$21*(1+Inputs!$F$22)^(J4-1)*J7</f>
        <v/>
      </c>
      <c r="K8" s="3">
        <f>Inputs!$F$21*(1+Inputs!$F$22)^(K4-1)*K7</f>
        <v/>
      </c>
      <c r="L8" s="3">
        <f>Inputs!$F$21*(1+Inputs!$F$22)^(L4-1)*L7</f>
        <v/>
      </c>
      <c r="M8" s="3">
        <f>Inputs!$F$21*(1+Inputs!$F$22)^(M4-1)*M7</f>
        <v/>
      </c>
      <c r="N8" s="3">
        <f>Inputs!$F$21*(1+Inputs!$F$22)^(N4-1)*N7</f>
        <v/>
      </c>
      <c r="O8" s="3">
        <f>Inputs!$F$21*(1+Inputs!$F$22)^(O4-1)*O7</f>
        <v/>
      </c>
      <c r="P8" s="3">
        <f>Inputs!$F$21*(1+Inputs!$F$22)^(P4-1)*P7</f>
        <v/>
      </c>
      <c r="Q8" s="3">
        <f>Inputs!$F$21*(1+Inputs!$F$22)^(Q4-1)*Q7</f>
        <v/>
      </c>
      <c r="R8" s="3">
        <f>Inputs!$F$21*(1+Inputs!$F$22)^(R4-1)*R7</f>
        <v/>
      </c>
      <c r="S8" s="3">
        <f>Inputs!$F$21*(1+Inputs!$F$22)^(S4-1)*S7</f>
        <v/>
      </c>
      <c r="T8" s="3">
        <f>Inputs!$F$21*(1+Inputs!$F$22)^(T4-1)*T7</f>
        <v/>
      </c>
      <c r="U8" s="3">
        <f>Inputs!$F$21*(1+Inputs!$F$22)^(U4-1)*U7</f>
        <v/>
      </c>
      <c r="V8" s="3">
        <f>Inputs!$F$21*(1+Inputs!$F$22)^(V4-1)*V7</f>
        <v/>
      </c>
      <c r="W8" s="3">
        <f>Inputs!$F$21*(1+Inputs!$F$22)^(W4-1)*W7</f>
        <v/>
      </c>
      <c r="X8" s="3">
        <f>Inputs!$F$21*(1+Inputs!$F$22)^(X4-1)*X7</f>
        <v/>
      </c>
      <c r="Y8" s="3">
        <f>Inputs!$F$21*(1+Inputs!$F$22)^(Y4-1)*Y7</f>
        <v/>
      </c>
      <c r="Z8" s="3">
        <f>Inputs!$F$21*(1+Inputs!$F$22)^(Z4-1)*Z7</f>
        <v/>
      </c>
      <c r="AA8" s="3">
        <f>Inputs!$F$21*(1+Inputs!$F$22)^(AA4-1)*AA7</f>
        <v/>
      </c>
      <c r="AB8" s="3">
        <f>Inputs!$F$21*(1+Inputs!$F$22)^(AB4-1)*AB7</f>
        <v/>
      </c>
      <c r="AC8" s="3">
        <f>Inputs!$F$21*(1+Inputs!$F$22)^(AC4-1)*AC7</f>
        <v/>
      </c>
      <c r="AD8" s="3">
        <f>Inputs!$F$21*(1+Inputs!$F$22)^(AD4-1)*AD7</f>
        <v/>
      </c>
      <c r="AE8" s="3">
        <f>Inputs!$F$21*(1+Inputs!$F$22)^(AE4-1)*AE7</f>
        <v/>
      </c>
      <c r="AF8" s="3">
        <f>Inputs!$F$21*(1+Inputs!$F$22)^(AF4-1)*AF7</f>
        <v/>
      </c>
      <c r="AG8" s="3">
        <f>Inputs!$F$21*(1+Inputs!$F$22)^(AG4-1)*AG7</f>
        <v/>
      </c>
      <c r="AH8" s="3">
        <f>Inputs!$F$21*(1+Inputs!$F$22)^(AH4-1)*AH7</f>
        <v/>
      </c>
      <c r="AI8" s="3">
        <f>Inputs!$F$21*(1+Inputs!$F$22)^(AI4-1)*AI7</f>
        <v/>
      </c>
      <c r="AJ8" s="3">
        <f>Inputs!$F$21*(1+Inputs!$F$22)^(AJ4-1)*AJ7</f>
        <v/>
      </c>
      <c r="AK8" s="3">
        <f>Inputs!$F$21*(1+Inputs!$F$22)^(AK4-1)*AK7</f>
        <v/>
      </c>
      <c r="AL8" s="3">
        <f>Inputs!$F$21*(1+Inputs!$F$22)^(AL4-1)*AL7</f>
        <v/>
      </c>
      <c r="AM8" s="3">
        <f>Inputs!$F$21*(1+Inputs!$F$22)^(AM4-1)*AM7</f>
        <v/>
      </c>
      <c r="AN8" s="3">
        <f>Inputs!$F$21*(1+Inputs!$F$22)^(AN4-1)*AN7</f>
        <v/>
      </c>
      <c r="AO8" s="3">
        <f>Inputs!$F$21*(1+Inputs!$F$22)^(AO4-1)*AO7</f>
        <v/>
      </c>
      <c r="AP8" s="3">
        <f>Inputs!$F$21*(1+Inputs!$F$22)^(AP4-1)*AP7</f>
        <v/>
      </c>
      <c r="AQ8" s="3">
        <f>Inputs!$F$21*(1+Inputs!$F$22)^(AQ4-1)*AQ7</f>
        <v/>
      </c>
      <c r="AR8" s="3">
        <f>Inputs!$F$21*(1+Inputs!$F$22)^(AR4-1)*AR7</f>
        <v/>
      </c>
      <c r="AS8" s="3">
        <f>Inputs!$F$21*(1+Inputs!$F$22)^(AS4-1)*AS7</f>
        <v/>
      </c>
      <c r="AT8" s="3">
        <f>Inputs!$F$21*(1+Inputs!$F$22)^(AT4-1)*AT7</f>
        <v/>
      </c>
      <c r="AU8" s="3">
        <f>Inputs!$F$21*(1+Inputs!$F$22)^(AU4-1)*AU7</f>
        <v/>
      </c>
      <c r="AV8" s="3">
        <f>Inputs!$F$21*(1+Inputs!$F$22)^(AV4-1)*AV7</f>
        <v/>
      </c>
      <c r="AW8" s="3">
        <f>Inputs!$F$21*(1+Inputs!$F$22)^(AW4-1)*AW7</f>
        <v/>
      </c>
      <c r="AX8" s="3">
        <f>Inputs!$F$21*(1+Inputs!$F$22)^(AX4-1)*AX7</f>
        <v/>
      </c>
      <c r="AY8" s="3">
        <f>Inputs!$F$21*(1+Inputs!$F$22)^(AY4-1)*AY7</f>
        <v/>
      </c>
      <c r="AZ8" s="3">
        <f>Inputs!$F$21*(1+Inputs!$F$22)^(AZ4-1)*AZ7</f>
        <v/>
      </c>
      <c r="BA8" s="3">
        <f>Inputs!$F$21*(1+Inputs!$F$22)^(BA4-1)*BA7</f>
        <v/>
      </c>
      <c r="BB8" s="3">
        <f>Inputs!$F$21*(1+Inputs!$F$22)^(BB4-1)*BB7</f>
        <v/>
      </c>
      <c r="BC8" s="3">
        <f>Inputs!$F$21*(1+Inputs!$F$22)^(BC4-1)*BC7</f>
        <v/>
      </c>
      <c r="BD8" s="3">
        <f>Inputs!$F$21*(1+Inputs!$F$22)^(BD4-1)*BD7</f>
        <v/>
      </c>
      <c r="BE8" s="3">
        <f>Inputs!$F$21*(1+Inputs!$F$22)^(BE4-1)*BE7</f>
        <v/>
      </c>
      <c r="BF8" s="3">
        <f>Inputs!$F$21*(1+Inputs!$F$22)^(BF4-1)*BF7</f>
        <v/>
      </c>
      <c r="BG8" s="3">
        <f>Inputs!$F$21*(1+Inputs!$F$22)^(BG4-1)*BG7</f>
        <v/>
      </c>
      <c r="BH8" s="3">
        <f>Inputs!$F$21*(1+Inputs!$F$22)^(BH4-1)*BH7</f>
        <v/>
      </c>
      <c r="BI8" s="3">
        <f>Inputs!$F$21*(1+Inputs!$F$22)^(BI4-1)*BI7</f>
        <v/>
      </c>
      <c r="BJ8" s="3">
        <f>Inputs!$F$21*(1+Inputs!$F$22)^(BJ4-1)*BJ7</f>
        <v/>
      </c>
    </row>
    <row r="9">
      <c r="A9" t="inlineStr">
        <is>
          <t>Ramp multiplier</t>
        </is>
      </c>
      <c r="C9" s="24">
        <f>IF(C3&lt;=12,INDEX(Inputs!$F$45:$F$56,C3),1)</f>
        <v/>
      </c>
      <c r="D9" s="24">
        <f>IF(D3&lt;=12,INDEX(Inputs!$F$45:$F$56,D3),1)</f>
        <v/>
      </c>
      <c r="E9" s="24">
        <f>IF(E3&lt;=12,INDEX(Inputs!$F$45:$F$56,E3),1)</f>
        <v/>
      </c>
      <c r="F9" s="24">
        <f>IF(F3&lt;=12,INDEX(Inputs!$F$45:$F$56,F3),1)</f>
        <v/>
      </c>
      <c r="G9" s="24">
        <f>IF(G3&lt;=12,INDEX(Inputs!$F$45:$F$56,G3),1)</f>
        <v/>
      </c>
      <c r="H9" s="24">
        <f>IF(H3&lt;=12,INDEX(Inputs!$F$45:$F$56,H3),1)</f>
        <v/>
      </c>
      <c r="I9" s="24">
        <f>IF(I3&lt;=12,INDEX(Inputs!$F$45:$F$56,I3),1)</f>
        <v/>
      </c>
      <c r="J9" s="24">
        <f>IF(J3&lt;=12,INDEX(Inputs!$F$45:$F$56,J3),1)</f>
        <v/>
      </c>
      <c r="K9" s="24">
        <f>IF(K3&lt;=12,INDEX(Inputs!$F$45:$F$56,K3),1)</f>
        <v/>
      </c>
      <c r="L9" s="24">
        <f>IF(L3&lt;=12,INDEX(Inputs!$F$45:$F$56,L3),1)</f>
        <v/>
      </c>
      <c r="M9" s="24">
        <f>IF(M3&lt;=12,INDEX(Inputs!$F$45:$F$56,M3),1)</f>
        <v/>
      </c>
      <c r="N9" s="24">
        <f>IF(N3&lt;=12,INDEX(Inputs!$F$45:$F$56,N3),1)</f>
        <v/>
      </c>
      <c r="O9" s="24">
        <f>IF(O3&lt;=12,INDEX(Inputs!$F$45:$F$56,O3),1)</f>
        <v/>
      </c>
      <c r="P9" s="24">
        <f>IF(P3&lt;=12,INDEX(Inputs!$F$45:$F$56,P3),1)</f>
        <v/>
      </c>
      <c r="Q9" s="24">
        <f>IF(Q3&lt;=12,INDEX(Inputs!$F$45:$F$56,Q3),1)</f>
        <v/>
      </c>
      <c r="R9" s="24">
        <f>IF(R3&lt;=12,INDEX(Inputs!$F$45:$F$56,R3),1)</f>
        <v/>
      </c>
      <c r="S9" s="24">
        <f>IF(S3&lt;=12,INDEX(Inputs!$F$45:$F$56,S3),1)</f>
        <v/>
      </c>
      <c r="T9" s="24">
        <f>IF(T3&lt;=12,INDEX(Inputs!$F$45:$F$56,T3),1)</f>
        <v/>
      </c>
      <c r="U9" s="24">
        <f>IF(U3&lt;=12,INDEX(Inputs!$F$45:$F$56,U3),1)</f>
        <v/>
      </c>
      <c r="V9" s="24">
        <f>IF(V3&lt;=12,INDEX(Inputs!$F$45:$F$56,V3),1)</f>
        <v/>
      </c>
      <c r="W9" s="24">
        <f>IF(W3&lt;=12,INDEX(Inputs!$F$45:$F$56,W3),1)</f>
        <v/>
      </c>
      <c r="X9" s="24">
        <f>IF(X3&lt;=12,INDEX(Inputs!$F$45:$F$56,X3),1)</f>
        <v/>
      </c>
      <c r="Y9" s="24">
        <f>IF(Y3&lt;=12,INDEX(Inputs!$F$45:$F$56,Y3),1)</f>
        <v/>
      </c>
      <c r="Z9" s="24">
        <f>IF(Z3&lt;=12,INDEX(Inputs!$F$45:$F$56,Z3),1)</f>
        <v/>
      </c>
      <c r="AA9" s="24">
        <f>IF(AA3&lt;=12,INDEX(Inputs!$F$45:$F$56,AA3),1)</f>
        <v/>
      </c>
      <c r="AB9" s="24">
        <f>IF(AB3&lt;=12,INDEX(Inputs!$F$45:$F$56,AB3),1)</f>
        <v/>
      </c>
      <c r="AC9" s="24">
        <f>IF(AC3&lt;=12,INDEX(Inputs!$F$45:$F$56,AC3),1)</f>
        <v/>
      </c>
      <c r="AD9" s="24">
        <f>IF(AD3&lt;=12,INDEX(Inputs!$F$45:$F$56,AD3),1)</f>
        <v/>
      </c>
      <c r="AE9" s="24">
        <f>IF(AE3&lt;=12,INDEX(Inputs!$F$45:$F$56,AE3),1)</f>
        <v/>
      </c>
      <c r="AF9" s="24">
        <f>IF(AF3&lt;=12,INDEX(Inputs!$F$45:$F$56,AF3),1)</f>
        <v/>
      </c>
      <c r="AG9" s="24">
        <f>IF(AG3&lt;=12,INDEX(Inputs!$F$45:$F$56,AG3),1)</f>
        <v/>
      </c>
      <c r="AH9" s="24">
        <f>IF(AH3&lt;=12,INDEX(Inputs!$F$45:$F$56,AH3),1)</f>
        <v/>
      </c>
      <c r="AI9" s="24">
        <f>IF(AI3&lt;=12,INDEX(Inputs!$F$45:$F$56,AI3),1)</f>
        <v/>
      </c>
      <c r="AJ9" s="24">
        <f>IF(AJ3&lt;=12,INDEX(Inputs!$F$45:$F$56,AJ3),1)</f>
        <v/>
      </c>
      <c r="AK9" s="24">
        <f>IF(AK3&lt;=12,INDEX(Inputs!$F$45:$F$56,AK3),1)</f>
        <v/>
      </c>
      <c r="AL9" s="24">
        <f>IF(AL3&lt;=12,INDEX(Inputs!$F$45:$F$56,AL3),1)</f>
        <v/>
      </c>
      <c r="AM9" s="24">
        <f>IF(AM3&lt;=12,INDEX(Inputs!$F$45:$F$56,AM3),1)</f>
        <v/>
      </c>
      <c r="AN9" s="24">
        <f>IF(AN3&lt;=12,INDEX(Inputs!$F$45:$F$56,AN3),1)</f>
        <v/>
      </c>
      <c r="AO9" s="24">
        <f>IF(AO3&lt;=12,INDEX(Inputs!$F$45:$F$56,AO3),1)</f>
        <v/>
      </c>
      <c r="AP9" s="24">
        <f>IF(AP3&lt;=12,INDEX(Inputs!$F$45:$F$56,AP3),1)</f>
        <v/>
      </c>
      <c r="AQ9" s="24">
        <f>IF(AQ3&lt;=12,INDEX(Inputs!$F$45:$F$56,AQ3),1)</f>
        <v/>
      </c>
      <c r="AR9" s="24">
        <f>IF(AR3&lt;=12,INDEX(Inputs!$F$45:$F$56,AR3),1)</f>
        <v/>
      </c>
      <c r="AS9" s="24">
        <f>IF(AS3&lt;=12,INDEX(Inputs!$F$45:$F$56,AS3),1)</f>
        <v/>
      </c>
      <c r="AT9" s="24">
        <f>IF(AT3&lt;=12,INDEX(Inputs!$F$45:$F$56,AT3),1)</f>
        <v/>
      </c>
      <c r="AU9" s="24">
        <f>IF(AU3&lt;=12,INDEX(Inputs!$F$45:$F$56,AU3),1)</f>
        <v/>
      </c>
      <c r="AV9" s="24">
        <f>IF(AV3&lt;=12,INDEX(Inputs!$F$45:$F$56,AV3),1)</f>
        <v/>
      </c>
      <c r="AW9" s="24">
        <f>IF(AW3&lt;=12,INDEX(Inputs!$F$45:$F$56,AW3),1)</f>
        <v/>
      </c>
      <c r="AX9" s="24">
        <f>IF(AX3&lt;=12,INDEX(Inputs!$F$45:$F$56,AX3),1)</f>
        <v/>
      </c>
      <c r="AY9" s="24">
        <f>IF(AY3&lt;=12,INDEX(Inputs!$F$45:$F$56,AY3),1)</f>
        <v/>
      </c>
      <c r="AZ9" s="24">
        <f>IF(AZ3&lt;=12,INDEX(Inputs!$F$45:$F$56,AZ3),1)</f>
        <v/>
      </c>
      <c r="BA9" s="24">
        <f>IF(BA3&lt;=12,INDEX(Inputs!$F$45:$F$56,BA3),1)</f>
        <v/>
      </c>
      <c r="BB9" s="24">
        <f>IF(BB3&lt;=12,INDEX(Inputs!$F$45:$F$56,BB3),1)</f>
        <v/>
      </c>
      <c r="BC9" s="24">
        <f>IF(BC3&lt;=12,INDEX(Inputs!$F$45:$F$56,BC3),1)</f>
        <v/>
      </c>
      <c r="BD9" s="24">
        <f>IF(BD3&lt;=12,INDEX(Inputs!$F$45:$F$56,BD3),1)</f>
        <v/>
      </c>
      <c r="BE9" s="24">
        <f>IF(BE3&lt;=12,INDEX(Inputs!$F$45:$F$56,BE3),1)</f>
        <v/>
      </c>
      <c r="BF9" s="24">
        <f>IF(BF3&lt;=12,INDEX(Inputs!$F$45:$F$56,BF3),1)</f>
        <v/>
      </c>
      <c r="BG9" s="24">
        <f>IF(BG3&lt;=12,INDEX(Inputs!$F$45:$F$56,BG3),1)</f>
        <v/>
      </c>
      <c r="BH9" s="24">
        <f>IF(BH3&lt;=12,INDEX(Inputs!$F$45:$F$56,BH3),1)</f>
        <v/>
      </c>
      <c r="BI9" s="24">
        <f>IF(BI3&lt;=12,INDEX(Inputs!$F$45:$F$56,BI3),1)</f>
        <v/>
      </c>
      <c r="BJ9" s="24">
        <f>IF(BJ3&lt;=12,INDEX(Inputs!$F$45:$F$56,BJ3),1)</f>
        <v/>
      </c>
    </row>
    <row r="10">
      <c r="A10" t="inlineStr">
        <is>
          <t>Capture rate</t>
        </is>
      </c>
      <c r="C10" s="25">
        <f>Inputs!$F$24*(1+Inputs!$F$25)^(C4-1)*C9</f>
        <v/>
      </c>
      <c r="D10" s="25">
        <f>Inputs!$F$24*(1+Inputs!$F$25)^(D4-1)*D9</f>
        <v/>
      </c>
      <c r="E10" s="25">
        <f>Inputs!$F$24*(1+Inputs!$F$25)^(E4-1)*E9</f>
        <v/>
      </c>
      <c r="F10" s="25">
        <f>Inputs!$F$24*(1+Inputs!$F$25)^(F4-1)*F9</f>
        <v/>
      </c>
      <c r="G10" s="25">
        <f>Inputs!$F$24*(1+Inputs!$F$25)^(G4-1)*G9</f>
        <v/>
      </c>
      <c r="H10" s="25">
        <f>Inputs!$F$24*(1+Inputs!$F$25)^(H4-1)*H9</f>
        <v/>
      </c>
      <c r="I10" s="25">
        <f>Inputs!$F$24*(1+Inputs!$F$25)^(I4-1)*I9</f>
        <v/>
      </c>
      <c r="J10" s="25">
        <f>Inputs!$F$24*(1+Inputs!$F$25)^(J4-1)*J9</f>
        <v/>
      </c>
      <c r="K10" s="25">
        <f>Inputs!$F$24*(1+Inputs!$F$25)^(K4-1)*K9</f>
        <v/>
      </c>
      <c r="L10" s="25">
        <f>Inputs!$F$24*(1+Inputs!$F$25)^(L4-1)*L9</f>
        <v/>
      </c>
      <c r="M10" s="25">
        <f>Inputs!$F$24*(1+Inputs!$F$25)^(M4-1)*M9</f>
        <v/>
      </c>
      <c r="N10" s="25">
        <f>Inputs!$F$24*(1+Inputs!$F$25)^(N4-1)*N9</f>
        <v/>
      </c>
      <c r="O10" s="25">
        <f>Inputs!$F$24*(1+Inputs!$F$25)^(O4-1)*O9</f>
        <v/>
      </c>
      <c r="P10" s="25">
        <f>Inputs!$F$24*(1+Inputs!$F$25)^(P4-1)*P9</f>
        <v/>
      </c>
      <c r="Q10" s="25">
        <f>Inputs!$F$24*(1+Inputs!$F$25)^(Q4-1)*Q9</f>
        <v/>
      </c>
      <c r="R10" s="25">
        <f>Inputs!$F$24*(1+Inputs!$F$25)^(R4-1)*R9</f>
        <v/>
      </c>
      <c r="S10" s="25">
        <f>Inputs!$F$24*(1+Inputs!$F$25)^(S4-1)*S9</f>
        <v/>
      </c>
      <c r="T10" s="25">
        <f>Inputs!$F$24*(1+Inputs!$F$25)^(T4-1)*T9</f>
        <v/>
      </c>
      <c r="U10" s="25">
        <f>Inputs!$F$24*(1+Inputs!$F$25)^(U4-1)*U9</f>
        <v/>
      </c>
      <c r="V10" s="25">
        <f>Inputs!$F$24*(1+Inputs!$F$25)^(V4-1)*V9</f>
        <v/>
      </c>
      <c r="W10" s="25">
        <f>Inputs!$F$24*(1+Inputs!$F$25)^(W4-1)*W9</f>
        <v/>
      </c>
      <c r="X10" s="25">
        <f>Inputs!$F$24*(1+Inputs!$F$25)^(X4-1)*X9</f>
        <v/>
      </c>
      <c r="Y10" s="25">
        <f>Inputs!$F$24*(1+Inputs!$F$25)^(Y4-1)*Y9</f>
        <v/>
      </c>
      <c r="Z10" s="25">
        <f>Inputs!$F$24*(1+Inputs!$F$25)^(Z4-1)*Z9</f>
        <v/>
      </c>
      <c r="AA10" s="25">
        <f>Inputs!$F$24*(1+Inputs!$F$25)^(AA4-1)*AA9</f>
        <v/>
      </c>
      <c r="AB10" s="25">
        <f>Inputs!$F$24*(1+Inputs!$F$25)^(AB4-1)*AB9</f>
        <v/>
      </c>
      <c r="AC10" s="25">
        <f>Inputs!$F$24*(1+Inputs!$F$25)^(AC4-1)*AC9</f>
        <v/>
      </c>
      <c r="AD10" s="25">
        <f>Inputs!$F$24*(1+Inputs!$F$25)^(AD4-1)*AD9</f>
        <v/>
      </c>
      <c r="AE10" s="25">
        <f>Inputs!$F$24*(1+Inputs!$F$25)^(AE4-1)*AE9</f>
        <v/>
      </c>
      <c r="AF10" s="25">
        <f>Inputs!$F$24*(1+Inputs!$F$25)^(AF4-1)*AF9</f>
        <v/>
      </c>
      <c r="AG10" s="25">
        <f>Inputs!$F$24*(1+Inputs!$F$25)^(AG4-1)*AG9</f>
        <v/>
      </c>
      <c r="AH10" s="25">
        <f>Inputs!$F$24*(1+Inputs!$F$25)^(AH4-1)*AH9</f>
        <v/>
      </c>
      <c r="AI10" s="25">
        <f>Inputs!$F$24*(1+Inputs!$F$25)^(AI4-1)*AI9</f>
        <v/>
      </c>
      <c r="AJ10" s="25">
        <f>Inputs!$F$24*(1+Inputs!$F$25)^(AJ4-1)*AJ9</f>
        <v/>
      </c>
      <c r="AK10" s="25">
        <f>Inputs!$F$24*(1+Inputs!$F$25)^(AK4-1)*AK9</f>
        <v/>
      </c>
      <c r="AL10" s="25">
        <f>Inputs!$F$24*(1+Inputs!$F$25)^(AL4-1)*AL9</f>
        <v/>
      </c>
      <c r="AM10" s="25">
        <f>Inputs!$F$24*(1+Inputs!$F$25)^(AM4-1)*AM9</f>
        <v/>
      </c>
      <c r="AN10" s="25">
        <f>Inputs!$F$24*(1+Inputs!$F$25)^(AN4-1)*AN9</f>
        <v/>
      </c>
      <c r="AO10" s="25">
        <f>Inputs!$F$24*(1+Inputs!$F$25)^(AO4-1)*AO9</f>
        <v/>
      </c>
      <c r="AP10" s="25">
        <f>Inputs!$F$24*(1+Inputs!$F$25)^(AP4-1)*AP9</f>
        <v/>
      </c>
      <c r="AQ10" s="25">
        <f>Inputs!$F$24*(1+Inputs!$F$25)^(AQ4-1)*AQ9</f>
        <v/>
      </c>
      <c r="AR10" s="25">
        <f>Inputs!$F$24*(1+Inputs!$F$25)^(AR4-1)*AR9</f>
        <v/>
      </c>
      <c r="AS10" s="25">
        <f>Inputs!$F$24*(1+Inputs!$F$25)^(AS4-1)*AS9</f>
        <v/>
      </c>
      <c r="AT10" s="25">
        <f>Inputs!$F$24*(1+Inputs!$F$25)^(AT4-1)*AT9</f>
        <v/>
      </c>
      <c r="AU10" s="25">
        <f>Inputs!$F$24*(1+Inputs!$F$25)^(AU4-1)*AU9</f>
        <v/>
      </c>
      <c r="AV10" s="25">
        <f>Inputs!$F$24*(1+Inputs!$F$25)^(AV4-1)*AV9</f>
        <v/>
      </c>
      <c r="AW10" s="25">
        <f>Inputs!$F$24*(1+Inputs!$F$25)^(AW4-1)*AW9</f>
        <v/>
      </c>
      <c r="AX10" s="25">
        <f>Inputs!$F$24*(1+Inputs!$F$25)^(AX4-1)*AX9</f>
        <v/>
      </c>
      <c r="AY10" s="25">
        <f>Inputs!$F$24*(1+Inputs!$F$25)^(AY4-1)*AY9</f>
        <v/>
      </c>
      <c r="AZ10" s="25">
        <f>Inputs!$F$24*(1+Inputs!$F$25)^(AZ4-1)*AZ9</f>
        <v/>
      </c>
      <c r="BA10" s="25">
        <f>Inputs!$F$24*(1+Inputs!$F$25)^(BA4-1)*BA9</f>
        <v/>
      </c>
      <c r="BB10" s="25">
        <f>Inputs!$F$24*(1+Inputs!$F$25)^(BB4-1)*BB9</f>
        <v/>
      </c>
      <c r="BC10" s="25">
        <f>Inputs!$F$24*(1+Inputs!$F$25)^(BC4-1)*BC9</f>
        <v/>
      </c>
      <c r="BD10" s="25">
        <f>Inputs!$F$24*(1+Inputs!$F$25)^(BD4-1)*BD9</f>
        <v/>
      </c>
      <c r="BE10" s="25">
        <f>Inputs!$F$24*(1+Inputs!$F$25)^(BE4-1)*BE9</f>
        <v/>
      </c>
      <c r="BF10" s="25">
        <f>Inputs!$F$24*(1+Inputs!$F$25)^(BF4-1)*BF9</f>
        <v/>
      </c>
      <c r="BG10" s="25">
        <f>Inputs!$F$24*(1+Inputs!$F$25)^(BG4-1)*BG9</f>
        <v/>
      </c>
      <c r="BH10" s="25">
        <f>Inputs!$F$24*(1+Inputs!$F$25)^(BH4-1)*BH9</f>
        <v/>
      </c>
      <c r="BI10" s="25">
        <f>Inputs!$F$24*(1+Inputs!$F$25)^(BI4-1)*BI9</f>
        <v/>
      </c>
      <c r="BJ10" s="25">
        <f>Inputs!$F$24*(1+Inputs!$F$25)^(BJ4-1)*BJ9</f>
        <v/>
      </c>
    </row>
    <row r="11">
      <c r="A11" t="inlineStr">
        <is>
          <t>Transactions / day</t>
        </is>
      </c>
      <c r="C11" s="24">
        <f>C8*Inputs!$F$23*C10+Inputs!$F$27*C9</f>
        <v/>
      </c>
      <c r="D11" s="24">
        <f>D8*Inputs!$F$23*D10+Inputs!$F$27*D9</f>
        <v/>
      </c>
      <c r="E11" s="24">
        <f>E8*Inputs!$F$23*E10+Inputs!$F$27*E9</f>
        <v/>
      </c>
      <c r="F11" s="24">
        <f>F8*Inputs!$F$23*F10+Inputs!$F$27*F9</f>
        <v/>
      </c>
      <c r="G11" s="24">
        <f>G8*Inputs!$F$23*G10+Inputs!$F$27*G9</f>
        <v/>
      </c>
      <c r="H11" s="24">
        <f>H8*Inputs!$F$23*H10+Inputs!$F$27*H9</f>
        <v/>
      </c>
      <c r="I11" s="24">
        <f>I8*Inputs!$F$23*I10+Inputs!$F$27*I9</f>
        <v/>
      </c>
      <c r="J11" s="24">
        <f>J8*Inputs!$F$23*J10+Inputs!$F$27*J9</f>
        <v/>
      </c>
      <c r="K11" s="24">
        <f>K8*Inputs!$F$23*K10+Inputs!$F$27*K9</f>
        <v/>
      </c>
      <c r="L11" s="24">
        <f>L8*Inputs!$F$23*L10+Inputs!$F$27*L9</f>
        <v/>
      </c>
      <c r="M11" s="24">
        <f>M8*Inputs!$F$23*M10+Inputs!$F$27*M9</f>
        <v/>
      </c>
      <c r="N11" s="24">
        <f>N8*Inputs!$F$23*N10+Inputs!$F$27*N9</f>
        <v/>
      </c>
      <c r="O11" s="24">
        <f>O8*Inputs!$F$23*O10+Inputs!$F$27*O9</f>
        <v/>
      </c>
      <c r="P11" s="24">
        <f>P8*Inputs!$F$23*P10+Inputs!$F$27*P9</f>
        <v/>
      </c>
      <c r="Q11" s="24">
        <f>Q8*Inputs!$F$23*Q10+Inputs!$F$27*Q9</f>
        <v/>
      </c>
      <c r="R11" s="24">
        <f>R8*Inputs!$F$23*R10+Inputs!$F$27*R9</f>
        <v/>
      </c>
      <c r="S11" s="24">
        <f>S8*Inputs!$F$23*S10+Inputs!$F$27*S9</f>
        <v/>
      </c>
      <c r="T11" s="24">
        <f>T8*Inputs!$F$23*T10+Inputs!$F$27*T9</f>
        <v/>
      </c>
      <c r="U11" s="24">
        <f>U8*Inputs!$F$23*U10+Inputs!$F$27*U9</f>
        <v/>
      </c>
      <c r="V11" s="24">
        <f>V8*Inputs!$F$23*V10+Inputs!$F$27*V9</f>
        <v/>
      </c>
      <c r="W11" s="24">
        <f>W8*Inputs!$F$23*W10+Inputs!$F$27*W9</f>
        <v/>
      </c>
      <c r="X11" s="24">
        <f>X8*Inputs!$F$23*X10+Inputs!$F$27*X9</f>
        <v/>
      </c>
      <c r="Y11" s="24">
        <f>Y8*Inputs!$F$23*Y10+Inputs!$F$27*Y9</f>
        <v/>
      </c>
      <c r="Z11" s="24">
        <f>Z8*Inputs!$F$23*Z10+Inputs!$F$27*Z9</f>
        <v/>
      </c>
      <c r="AA11" s="24">
        <f>AA8*Inputs!$F$23*AA10+Inputs!$F$27*AA9</f>
        <v/>
      </c>
      <c r="AB11" s="24">
        <f>AB8*Inputs!$F$23*AB10+Inputs!$F$27*AB9</f>
        <v/>
      </c>
      <c r="AC11" s="24">
        <f>AC8*Inputs!$F$23*AC10+Inputs!$F$27*AC9</f>
        <v/>
      </c>
      <c r="AD11" s="24">
        <f>AD8*Inputs!$F$23*AD10+Inputs!$F$27*AD9</f>
        <v/>
      </c>
      <c r="AE11" s="24">
        <f>AE8*Inputs!$F$23*AE10+Inputs!$F$27*AE9</f>
        <v/>
      </c>
      <c r="AF11" s="24">
        <f>AF8*Inputs!$F$23*AF10+Inputs!$F$27*AF9</f>
        <v/>
      </c>
      <c r="AG11" s="24">
        <f>AG8*Inputs!$F$23*AG10+Inputs!$F$27*AG9</f>
        <v/>
      </c>
      <c r="AH11" s="24">
        <f>AH8*Inputs!$F$23*AH10+Inputs!$F$27*AH9</f>
        <v/>
      </c>
      <c r="AI11" s="24">
        <f>AI8*Inputs!$F$23*AI10+Inputs!$F$27*AI9</f>
        <v/>
      </c>
      <c r="AJ11" s="24">
        <f>AJ8*Inputs!$F$23*AJ10+Inputs!$F$27*AJ9</f>
        <v/>
      </c>
      <c r="AK11" s="24">
        <f>AK8*Inputs!$F$23*AK10+Inputs!$F$27*AK9</f>
        <v/>
      </c>
      <c r="AL11" s="24">
        <f>AL8*Inputs!$F$23*AL10+Inputs!$F$27*AL9</f>
        <v/>
      </c>
      <c r="AM11" s="24">
        <f>AM8*Inputs!$F$23*AM10+Inputs!$F$27*AM9</f>
        <v/>
      </c>
      <c r="AN11" s="24">
        <f>AN8*Inputs!$F$23*AN10+Inputs!$F$27*AN9</f>
        <v/>
      </c>
      <c r="AO11" s="24">
        <f>AO8*Inputs!$F$23*AO10+Inputs!$F$27*AO9</f>
        <v/>
      </c>
      <c r="AP11" s="24">
        <f>AP8*Inputs!$F$23*AP10+Inputs!$F$27*AP9</f>
        <v/>
      </c>
      <c r="AQ11" s="24">
        <f>AQ8*Inputs!$F$23*AQ10+Inputs!$F$27*AQ9</f>
        <v/>
      </c>
      <c r="AR11" s="24">
        <f>AR8*Inputs!$F$23*AR10+Inputs!$F$27*AR9</f>
        <v/>
      </c>
      <c r="AS11" s="24">
        <f>AS8*Inputs!$F$23*AS10+Inputs!$F$27*AS9</f>
        <v/>
      </c>
      <c r="AT11" s="24">
        <f>AT8*Inputs!$F$23*AT10+Inputs!$F$27*AT9</f>
        <v/>
      </c>
      <c r="AU11" s="24">
        <f>AU8*Inputs!$F$23*AU10+Inputs!$F$27*AU9</f>
        <v/>
      </c>
      <c r="AV11" s="24">
        <f>AV8*Inputs!$F$23*AV10+Inputs!$F$27*AV9</f>
        <v/>
      </c>
      <c r="AW11" s="24">
        <f>AW8*Inputs!$F$23*AW10+Inputs!$F$27*AW9</f>
        <v/>
      </c>
      <c r="AX11" s="24">
        <f>AX8*Inputs!$F$23*AX10+Inputs!$F$27*AX9</f>
        <v/>
      </c>
      <c r="AY11" s="24">
        <f>AY8*Inputs!$F$23*AY10+Inputs!$F$27*AY9</f>
        <v/>
      </c>
      <c r="AZ11" s="24">
        <f>AZ8*Inputs!$F$23*AZ10+Inputs!$F$27*AZ9</f>
        <v/>
      </c>
      <c r="BA11" s="24">
        <f>BA8*Inputs!$F$23*BA10+Inputs!$F$27*BA9</f>
        <v/>
      </c>
      <c r="BB11" s="24">
        <f>BB8*Inputs!$F$23*BB10+Inputs!$F$27*BB9</f>
        <v/>
      </c>
      <c r="BC11" s="24">
        <f>BC8*Inputs!$F$23*BC10+Inputs!$F$27*BC9</f>
        <v/>
      </c>
      <c r="BD11" s="24">
        <f>BD8*Inputs!$F$23*BD10+Inputs!$F$27*BD9</f>
        <v/>
      </c>
      <c r="BE11" s="24">
        <f>BE8*Inputs!$F$23*BE10+Inputs!$F$27*BE9</f>
        <v/>
      </c>
      <c r="BF11" s="24">
        <f>BF8*Inputs!$F$23*BF10+Inputs!$F$27*BF9</f>
        <v/>
      </c>
      <c r="BG11" s="24">
        <f>BG8*Inputs!$F$23*BG10+Inputs!$F$27*BG9</f>
        <v/>
      </c>
      <c r="BH11" s="24">
        <f>BH8*Inputs!$F$23*BH10+Inputs!$F$27*BH9</f>
        <v/>
      </c>
      <c r="BI11" s="24">
        <f>BI8*Inputs!$F$23*BI10+Inputs!$F$27*BI9</f>
        <v/>
      </c>
      <c r="BJ11" s="24">
        <f>BJ8*Inputs!$F$23*BJ10+Inputs!$F$27*BJ9</f>
        <v/>
      </c>
    </row>
    <row r="12">
      <c r="A12" t="inlineStr">
        <is>
          <t>Average ticket (AMD, incl. VAT)</t>
        </is>
      </c>
      <c r="C12" s="3">
        <f>Inputs!$F$26*(1+Inputs!$F$28)^(C4-1)</f>
        <v/>
      </c>
      <c r="D12" s="3">
        <f>Inputs!$F$26*(1+Inputs!$F$28)^(D4-1)</f>
        <v/>
      </c>
      <c r="E12" s="3">
        <f>Inputs!$F$26*(1+Inputs!$F$28)^(E4-1)</f>
        <v/>
      </c>
      <c r="F12" s="3">
        <f>Inputs!$F$26*(1+Inputs!$F$28)^(F4-1)</f>
        <v/>
      </c>
      <c r="G12" s="3">
        <f>Inputs!$F$26*(1+Inputs!$F$28)^(G4-1)</f>
        <v/>
      </c>
      <c r="H12" s="3">
        <f>Inputs!$F$26*(1+Inputs!$F$28)^(H4-1)</f>
        <v/>
      </c>
      <c r="I12" s="3">
        <f>Inputs!$F$26*(1+Inputs!$F$28)^(I4-1)</f>
        <v/>
      </c>
      <c r="J12" s="3">
        <f>Inputs!$F$26*(1+Inputs!$F$28)^(J4-1)</f>
        <v/>
      </c>
      <c r="K12" s="3">
        <f>Inputs!$F$26*(1+Inputs!$F$28)^(K4-1)</f>
        <v/>
      </c>
      <c r="L12" s="3">
        <f>Inputs!$F$26*(1+Inputs!$F$28)^(L4-1)</f>
        <v/>
      </c>
      <c r="M12" s="3">
        <f>Inputs!$F$26*(1+Inputs!$F$28)^(M4-1)</f>
        <v/>
      </c>
      <c r="N12" s="3">
        <f>Inputs!$F$26*(1+Inputs!$F$28)^(N4-1)</f>
        <v/>
      </c>
      <c r="O12" s="3">
        <f>Inputs!$F$26*(1+Inputs!$F$28)^(O4-1)</f>
        <v/>
      </c>
      <c r="P12" s="3">
        <f>Inputs!$F$26*(1+Inputs!$F$28)^(P4-1)</f>
        <v/>
      </c>
      <c r="Q12" s="3">
        <f>Inputs!$F$26*(1+Inputs!$F$28)^(Q4-1)</f>
        <v/>
      </c>
      <c r="R12" s="3">
        <f>Inputs!$F$26*(1+Inputs!$F$28)^(R4-1)</f>
        <v/>
      </c>
      <c r="S12" s="3">
        <f>Inputs!$F$26*(1+Inputs!$F$28)^(S4-1)</f>
        <v/>
      </c>
      <c r="T12" s="3">
        <f>Inputs!$F$26*(1+Inputs!$F$28)^(T4-1)</f>
        <v/>
      </c>
      <c r="U12" s="3">
        <f>Inputs!$F$26*(1+Inputs!$F$28)^(U4-1)</f>
        <v/>
      </c>
      <c r="V12" s="3">
        <f>Inputs!$F$26*(1+Inputs!$F$28)^(V4-1)</f>
        <v/>
      </c>
      <c r="W12" s="3">
        <f>Inputs!$F$26*(1+Inputs!$F$28)^(W4-1)</f>
        <v/>
      </c>
      <c r="X12" s="3">
        <f>Inputs!$F$26*(1+Inputs!$F$28)^(X4-1)</f>
        <v/>
      </c>
      <c r="Y12" s="3">
        <f>Inputs!$F$26*(1+Inputs!$F$28)^(Y4-1)</f>
        <v/>
      </c>
      <c r="Z12" s="3">
        <f>Inputs!$F$26*(1+Inputs!$F$28)^(Z4-1)</f>
        <v/>
      </c>
      <c r="AA12" s="3">
        <f>Inputs!$F$26*(1+Inputs!$F$28)^(AA4-1)</f>
        <v/>
      </c>
      <c r="AB12" s="3">
        <f>Inputs!$F$26*(1+Inputs!$F$28)^(AB4-1)</f>
        <v/>
      </c>
      <c r="AC12" s="3">
        <f>Inputs!$F$26*(1+Inputs!$F$28)^(AC4-1)</f>
        <v/>
      </c>
      <c r="AD12" s="3">
        <f>Inputs!$F$26*(1+Inputs!$F$28)^(AD4-1)</f>
        <v/>
      </c>
      <c r="AE12" s="3">
        <f>Inputs!$F$26*(1+Inputs!$F$28)^(AE4-1)</f>
        <v/>
      </c>
      <c r="AF12" s="3">
        <f>Inputs!$F$26*(1+Inputs!$F$28)^(AF4-1)</f>
        <v/>
      </c>
      <c r="AG12" s="3">
        <f>Inputs!$F$26*(1+Inputs!$F$28)^(AG4-1)</f>
        <v/>
      </c>
      <c r="AH12" s="3">
        <f>Inputs!$F$26*(1+Inputs!$F$28)^(AH4-1)</f>
        <v/>
      </c>
      <c r="AI12" s="3">
        <f>Inputs!$F$26*(1+Inputs!$F$28)^(AI4-1)</f>
        <v/>
      </c>
      <c r="AJ12" s="3">
        <f>Inputs!$F$26*(1+Inputs!$F$28)^(AJ4-1)</f>
        <v/>
      </c>
      <c r="AK12" s="3">
        <f>Inputs!$F$26*(1+Inputs!$F$28)^(AK4-1)</f>
        <v/>
      </c>
      <c r="AL12" s="3">
        <f>Inputs!$F$26*(1+Inputs!$F$28)^(AL4-1)</f>
        <v/>
      </c>
      <c r="AM12" s="3">
        <f>Inputs!$F$26*(1+Inputs!$F$28)^(AM4-1)</f>
        <v/>
      </c>
      <c r="AN12" s="3">
        <f>Inputs!$F$26*(1+Inputs!$F$28)^(AN4-1)</f>
        <v/>
      </c>
      <c r="AO12" s="3">
        <f>Inputs!$F$26*(1+Inputs!$F$28)^(AO4-1)</f>
        <v/>
      </c>
      <c r="AP12" s="3">
        <f>Inputs!$F$26*(1+Inputs!$F$28)^(AP4-1)</f>
        <v/>
      </c>
      <c r="AQ12" s="3">
        <f>Inputs!$F$26*(1+Inputs!$F$28)^(AQ4-1)</f>
        <v/>
      </c>
      <c r="AR12" s="3">
        <f>Inputs!$F$26*(1+Inputs!$F$28)^(AR4-1)</f>
        <v/>
      </c>
      <c r="AS12" s="3">
        <f>Inputs!$F$26*(1+Inputs!$F$28)^(AS4-1)</f>
        <v/>
      </c>
      <c r="AT12" s="3">
        <f>Inputs!$F$26*(1+Inputs!$F$28)^(AT4-1)</f>
        <v/>
      </c>
      <c r="AU12" s="3">
        <f>Inputs!$F$26*(1+Inputs!$F$28)^(AU4-1)</f>
        <v/>
      </c>
      <c r="AV12" s="3">
        <f>Inputs!$F$26*(1+Inputs!$F$28)^(AV4-1)</f>
        <v/>
      </c>
      <c r="AW12" s="3">
        <f>Inputs!$F$26*(1+Inputs!$F$28)^(AW4-1)</f>
        <v/>
      </c>
      <c r="AX12" s="3">
        <f>Inputs!$F$26*(1+Inputs!$F$28)^(AX4-1)</f>
        <v/>
      </c>
      <c r="AY12" s="3">
        <f>Inputs!$F$26*(1+Inputs!$F$28)^(AY4-1)</f>
        <v/>
      </c>
      <c r="AZ12" s="3">
        <f>Inputs!$F$26*(1+Inputs!$F$28)^(AZ4-1)</f>
        <v/>
      </c>
      <c r="BA12" s="3">
        <f>Inputs!$F$26*(1+Inputs!$F$28)^(BA4-1)</f>
        <v/>
      </c>
      <c r="BB12" s="3">
        <f>Inputs!$F$26*(1+Inputs!$F$28)^(BB4-1)</f>
        <v/>
      </c>
      <c r="BC12" s="3">
        <f>Inputs!$F$26*(1+Inputs!$F$28)^(BC4-1)</f>
        <v/>
      </c>
      <c r="BD12" s="3">
        <f>Inputs!$F$26*(1+Inputs!$F$28)^(BD4-1)</f>
        <v/>
      </c>
      <c r="BE12" s="3">
        <f>Inputs!$F$26*(1+Inputs!$F$28)^(BE4-1)</f>
        <v/>
      </c>
      <c r="BF12" s="3">
        <f>Inputs!$F$26*(1+Inputs!$F$28)^(BF4-1)</f>
        <v/>
      </c>
      <c r="BG12" s="3">
        <f>Inputs!$F$26*(1+Inputs!$F$28)^(BG4-1)</f>
        <v/>
      </c>
      <c r="BH12" s="3">
        <f>Inputs!$F$26*(1+Inputs!$F$28)^(BH4-1)</f>
        <v/>
      </c>
      <c r="BI12" s="3">
        <f>Inputs!$F$26*(1+Inputs!$F$28)^(BI4-1)</f>
        <v/>
      </c>
      <c r="BJ12" s="3">
        <f>Inputs!$F$26*(1+Inputs!$F$28)^(BJ4-1)</f>
        <v/>
      </c>
    </row>
    <row r="13">
      <c r="A13" t="inlineStr">
        <is>
          <t>Gross sales (incl. VAT)</t>
        </is>
      </c>
      <c r="C13" s="3">
        <f>C11*C6*C12</f>
        <v/>
      </c>
      <c r="D13" s="3">
        <f>D11*D6*D12</f>
        <v/>
      </c>
      <c r="E13" s="3">
        <f>E11*E6*E12</f>
        <v/>
      </c>
      <c r="F13" s="3">
        <f>F11*F6*F12</f>
        <v/>
      </c>
      <c r="G13" s="3">
        <f>G11*G6*G12</f>
        <v/>
      </c>
      <c r="H13" s="3">
        <f>H11*H6*H12</f>
        <v/>
      </c>
      <c r="I13" s="3">
        <f>I11*I6*I12</f>
        <v/>
      </c>
      <c r="J13" s="3">
        <f>J11*J6*J12</f>
        <v/>
      </c>
      <c r="K13" s="3">
        <f>K11*K6*K12</f>
        <v/>
      </c>
      <c r="L13" s="3">
        <f>L11*L6*L12</f>
        <v/>
      </c>
      <c r="M13" s="3">
        <f>M11*M6*M12</f>
        <v/>
      </c>
      <c r="N13" s="3">
        <f>N11*N6*N12</f>
        <v/>
      </c>
      <c r="O13" s="3">
        <f>O11*O6*O12</f>
        <v/>
      </c>
      <c r="P13" s="3">
        <f>P11*P6*P12</f>
        <v/>
      </c>
      <c r="Q13" s="3">
        <f>Q11*Q6*Q12</f>
        <v/>
      </c>
      <c r="R13" s="3">
        <f>R11*R6*R12</f>
        <v/>
      </c>
      <c r="S13" s="3">
        <f>S11*S6*S12</f>
        <v/>
      </c>
      <c r="T13" s="3">
        <f>T11*T6*T12</f>
        <v/>
      </c>
      <c r="U13" s="3">
        <f>U11*U6*U12</f>
        <v/>
      </c>
      <c r="V13" s="3">
        <f>V11*V6*V12</f>
        <v/>
      </c>
      <c r="W13" s="3">
        <f>W11*W6*W12</f>
        <v/>
      </c>
      <c r="X13" s="3">
        <f>X11*X6*X12</f>
        <v/>
      </c>
      <c r="Y13" s="3">
        <f>Y11*Y6*Y12</f>
        <v/>
      </c>
      <c r="Z13" s="3">
        <f>Z11*Z6*Z12</f>
        <v/>
      </c>
      <c r="AA13" s="3">
        <f>AA11*AA6*AA12</f>
        <v/>
      </c>
      <c r="AB13" s="3">
        <f>AB11*AB6*AB12</f>
        <v/>
      </c>
      <c r="AC13" s="3">
        <f>AC11*AC6*AC12</f>
        <v/>
      </c>
      <c r="AD13" s="3">
        <f>AD11*AD6*AD12</f>
        <v/>
      </c>
      <c r="AE13" s="3">
        <f>AE11*AE6*AE12</f>
        <v/>
      </c>
      <c r="AF13" s="3">
        <f>AF11*AF6*AF12</f>
        <v/>
      </c>
      <c r="AG13" s="3">
        <f>AG11*AG6*AG12</f>
        <v/>
      </c>
      <c r="AH13" s="3">
        <f>AH11*AH6*AH12</f>
        <v/>
      </c>
      <c r="AI13" s="3">
        <f>AI11*AI6*AI12</f>
        <v/>
      </c>
      <c r="AJ13" s="3">
        <f>AJ11*AJ6*AJ12</f>
        <v/>
      </c>
      <c r="AK13" s="3">
        <f>AK11*AK6*AK12</f>
        <v/>
      </c>
      <c r="AL13" s="3">
        <f>AL11*AL6*AL12</f>
        <v/>
      </c>
      <c r="AM13" s="3">
        <f>AM11*AM6*AM12</f>
        <v/>
      </c>
      <c r="AN13" s="3">
        <f>AN11*AN6*AN12</f>
        <v/>
      </c>
      <c r="AO13" s="3">
        <f>AO11*AO6*AO12</f>
        <v/>
      </c>
      <c r="AP13" s="3">
        <f>AP11*AP6*AP12</f>
        <v/>
      </c>
      <c r="AQ13" s="3">
        <f>AQ11*AQ6*AQ12</f>
        <v/>
      </c>
      <c r="AR13" s="3">
        <f>AR11*AR6*AR12</f>
        <v/>
      </c>
      <c r="AS13" s="3">
        <f>AS11*AS6*AS12</f>
        <v/>
      </c>
      <c r="AT13" s="3">
        <f>AT11*AT6*AT12</f>
        <v/>
      </c>
      <c r="AU13" s="3">
        <f>AU11*AU6*AU12</f>
        <v/>
      </c>
      <c r="AV13" s="3">
        <f>AV11*AV6*AV12</f>
        <v/>
      </c>
      <c r="AW13" s="3">
        <f>AW11*AW6*AW12</f>
        <v/>
      </c>
      <c r="AX13" s="3">
        <f>AX11*AX6*AX12</f>
        <v/>
      </c>
      <c r="AY13" s="3">
        <f>AY11*AY6*AY12</f>
        <v/>
      </c>
      <c r="AZ13" s="3">
        <f>AZ11*AZ6*AZ12</f>
        <v/>
      </c>
      <c r="BA13" s="3">
        <f>BA11*BA6*BA12</f>
        <v/>
      </c>
      <c r="BB13" s="3">
        <f>BB11*BB6*BB12</f>
        <v/>
      </c>
      <c r="BC13" s="3">
        <f>BC11*BC6*BC12</f>
        <v/>
      </c>
      <c r="BD13" s="3">
        <f>BD11*BD6*BD12</f>
        <v/>
      </c>
      <c r="BE13" s="3">
        <f>BE11*BE6*BE12</f>
        <v/>
      </c>
      <c r="BF13" s="3">
        <f>BF11*BF6*BF12</f>
        <v/>
      </c>
      <c r="BG13" s="3">
        <f>BG11*BG6*BG12</f>
        <v/>
      </c>
      <c r="BH13" s="3">
        <f>BH11*BH6*BH12</f>
        <v/>
      </c>
      <c r="BI13" s="3">
        <f>BI11*BI6*BI12</f>
        <v/>
      </c>
      <c r="BJ13" s="3">
        <f>BJ11*BJ6*BJ12</f>
        <v/>
      </c>
    </row>
    <row r="14">
      <c r="A14" s="18" t="inlineStr">
        <is>
          <t>Net sales (excl. VAT)</t>
        </is>
      </c>
      <c r="C14" s="3">
        <f>C13/(1+Inputs!$F$10*(1-Inputs!$F$13))</f>
        <v/>
      </c>
      <c r="D14" s="3">
        <f>D13/(1+Inputs!$F$10*(1-Inputs!$F$13))</f>
        <v/>
      </c>
      <c r="E14" s="3">
        <f>E13/(1+Inputs!$F$10*(1-Inputs!$F$13))</f>
        <v/>
      </c>
      <c r="F14" s="3">
        <f>F13/(1+Inputs!$F$10*(1-Inputs!$F$13))</f>
        <v/>
      </c>
      <c r="G14" s="3">
        <f>G13/(1+Inputs!$F$10*(1-Inputs!$F$13))</f>
        <v/>
      </c>
      <c r="H14" s="3">
        <f>H13/(1+Inputs!$F$10*(1-Inputs!$F$13))</f>
        <v/>
      </c>
      <c r="I14" s="3">
        <f>I13/(1+Inputs!$F$10*(1-Inputs!$F$13))</f>
        <v/>
      </c>
      <c r="J14" s="3">
        <f>J13/(1+Inputs!$F$10*(1-Inputs!$F$13))</f>
        <v/>
      </c>
      <c r="K14" s="3">
        <f>K13/(1+Inputs!$F$10*(1-Inputs!$F$13))</f>
        <v/>
      </c>
      <c r="L14" s="3">
        <f>L13/(1+Inputs!$F$10*(1-Inputs!$F$13))</f>
        <v/>
      </c>
      <c r="M14" s="3">
        <f>M13/(1+Inputs!$F$10*(1-Inputs!$F$13))</f>
        <v/>
      </c>
      <c r="N14" s="3">
        <f>N13/(1+Inputs!$F$10*(1-Inputs!$F$13))</f>
        <v/>
      </c>
      <c r="O14" s="3">
        <f>O13/(1+Inputs!$F$10*(1-Inputs!$F$13))</f>
        <v/>
      </c>
      <c r="P14" s="3">
        <f>P13/(1+Inputs!$F$10*(1-Inputs!$F$13))</f>
        <v/>
      </c>
      <c r="Q14" s="3">
        <f>Q13/(1+Inputs!$F$10*(1-Inputs!$F$13))</f>
        <v/>
      </c>
      <c r="R14" s="3">
        <f>R13/(1+Inputs!$F$10*(1-Inputs!$F$13))</f>
        <v/>
      </c>
      <c r="S14" s="3">
        <f>S13/(1+Inputs!$F$10*(1-Inputs!$F$13))</f>
        <v/>
      </c>
      <c r="T14" s="3">
        <f>T13/(1+Inputs!$F$10*(1-Inputs!$F$13))</f>
        <v/>
      </c>
      <c r="U14" s="3">
        <f>U13/(1+Inputs!$F$10*(1-Inputs!$F$13))</f>
        <v/>
      </c>
      <c r="V14" s="3">
        <f>V13/(1+Inputs!$F$10*(1-Inputs!$F$13))</f>
        <v/>
      </c>
      <c r="W14" s="3">
        <f>W13/(1+Inputs!$F$10*(1-Inputs!$F$13))</f>
        <v/>
      </c>
      <c r="X14" s="3">
        <f>X13/(1+Inputs!$F$10*(1-Inputs!$F$13))</f>
        <v/>
      </c>
      <c r="Y14" s="3">
        <f>Y13/(1+Inputs!$F$10*(1-Inputs!$F$13))</f>
        <v/>
      </c>
      <c r="Z14" s="3">
        <f>Z13/(1+Inputs!$F$10*(1-Inputs!$F$13))</f>
        <v/>
      </c>
      <c r="AA14" s="3">
        <f>AA13/(1+Inputs!$F$10*(1-Inputs!$F$13))</f>
        <v/>
      </c>
      <c r="AB14" s="3">
        <f>AB13/(1+Inputs!$F$10*(1-Inputs!$F$13))</f>
        <v/>
      </c>
      <c r="AC14" s="3">
        <f>AC13/(1+Inputs!$F$10*(1-Inputs!$F$13))</f>
        <v/>
      </c>
      <c r="AD14" s="3">
        <f>AD13/(1+Inputs!$F$10*(1-Inputs!$F$13))</f>
        <v/>
      </c>
      <c r="AE14" s="3">
        <f>AE13/(1+Inputs!$F$10*(1-Inputs!$F$13))</f>
        <v/>
      </c>
      <c r="AF14" s="3">
        <f>AF13/(1+Inputs!$F$10*(1-Inputs!$F$13))</f>
        <v/>
      </c>
      <c r="AG14" s="3">
        <f>AG13/(1+Inputs!$F$10*(1-Inputs!$F$13))</f>
        <v/>
      </c>
      <c r="AH14" s="3">
        <f>AH13/(1+Inputs!$F$10*(1-Inputs!$F$13))</f>
        <v/>
      </c>
      <c r="AI14" s="3">
        <f>AI13/(1+Inputs!$F$10*(1-Inputs!$F$13))</f>
        <v/>
      </c>
      <c r="AJ14" s="3">
        <f>AJ13/(1+Inputs!$F$10*(1-Inputs!$F$13))</f>
        <v/>
      </c>
      <c r="AK14" s="3">
        <f>AK13/(1+Inputs!$F$10*(1-Inputs!$F$13))</f>
        <v/>
      </c>
      <c r="AL14" s="3">
        <f>AL13/(1+Inputs!$F$10*(1-Inputs!$F$13))</f>
        <v/>
      </c>
      <c r="AM14" s="3">
        <f>AM13/(1+Inputs!$F$10*(1-Inputs!$F$13))</f>
        <v/>
      </c>
      <c r="AN14" s="3">
        <f>AN13/(1+Inputs!$F$10*(1-Inputs!$F$13))</f>
        <v/>
      </c>
      <c r="AO14" s="3">
        <f>AO13/(1+Inputs!$F$10*(1-Inputs!$F$13))</f>
        <v/>
      </c>
      <c r="AP14" s="3">
        <f>AP13/(1+Inputs!$F$10*(1-Inputs!$F$13))</f>
        <v/>
      </c>
      <c r="AQ14" s="3">
        <f>AQ13/(1+Inputs!$F$10*(1-Inputs!$F$13))</f>
        <v/>
      </c>
      <c r="AR14" s="3">
        <f>AR13/(1+Inputs!$F$10*(1-Inputs!$F$13))</f>
        <v/>
      </c>
      <c r="AS14" s="3">
        <f>AS13/(1+Inputs!$F$10*(1-Inputs!$F$13))</f>
        <v/>
      </c>
      <c r="AT14" s="3">
        <f>AT13/(1+Inputs!$F$10*(1-Inputs!$F$13))</f>
        <v/>
      </c>
      <c r="AU14" s="3">
        <f>AU13/(1+Inputs!$F$10*(1-Inputs!$F$13))</f>
        <v/>
      </c>
      <c r="AV14" s="3">
        <f>AV13/(1+Inputs!$F$10*(1-Inputs!$F$13))</f>
        <v/>
      </c>
      <c r="AW14" s="3">
        <f>AW13/(1+Inputs!$F$10*(1-Inputs!$F$13))</f>
        <v/>
      </c>
      <c r="AX14" s="3">
        <f>AX13/(1+Inputs!$F$10*(1-Inputs!$F$13))</f>
        <v/>
      </c>
      <c r="AY14" s="3">
        <f>AY13/(1+Inputs!$F$10*(1-Inputs!$F$13))</f>
        <v/>
      </c>
      <c r="AZ14" s="3">
        <f>AZ13/(1+Inputs!$F$10*(1-Inputs!$F$13))</f>
        <v/>
      </c>
      <c r="BA14" s="3">
        <f>BA13/(1+Inputs!$F$10*(1-Inputs!$F$13))</f>
        <v/>
      </c>
      <c r="BB14" s="3">
        <f>BB13/(1+Inputs!$F$10*(1-Inputs!$F$13))</f>
        <v/>
      </c>
      <c r="BC14" s="3">
        <f>BC13/(1+Inputs!$F$10*(1-Inputs!$F$13))</f>
        <v/>
      </c>
      <c r="BD14" s="3">
        <f>BD13/(1+Inputs!$F$10*(1-Inputs!$F$13))</f>
        <v/>
      </c>
      <c r="BE14" s="3">
        <f>BE13/(1+Inputs!$F$10*(1-Inputs!$F$13))</f>
        <v/>
      </c>
      <c r="BF14" s="3">
        <f>BF13/(1+Inputs!$F$10*(1-Inputs!$F$13))</f>
        <v/>
      </c>
      <c r="BG14" s="3">
        <f>BG13/(1+Inputs!$F$10*(1-Inputs!$F$13))</f>
        <v/>
      </c>
      <c r="BH14" s="3">
        <f>BH13/(1+Inputs!$F$10*(1-Inputs!$F$13))</f>
        <v/>
      </c>
      <c r="BI14" s="3">
        <f>BI13/(1+Inputs!$F$10*(1-Inputs!$F$13))</f>
        <v/>
      </c>
      <c r="BJ14" s="3">
        <f>BJ13/(1+Inputs!$F$10*(1-Inputs!$F$13))</f>
        <v/>
      </c>
    </row>
    <row r="15">
      <c r="A15" t="inlineStr">
        <is>
          <t>COGS + waste</t>
        </is>
      </c>
      <c r="C15" s="3">
        <f>C14*(Inputs!$F$59+Inputs!$F$60)</f>
        <v/>
      </c>
      <c r="D15" s="3">
        <f>D14*(Inputs!$F$59+Inputs!$F$60)</f>
        <v/>
      </c>
      <c r="E15" s="3">
        <f>E14*(Inputs!$F$59+Inputs!$F$60)</f>
        <v/>
      </c>
      <c r="F15" s="3">
        <f>F14*(Inputs!$F$59+Inputs!$F$60)</f>
        <v/>
      </c>
      <c r="G15" s="3">
        <f>G14*(Inputs!$F$59+Inputs!$F$60)</f>
        <v/>
      </c>
      <c r="H15" s="3">
        <f>H14*(Inputs!$F$59+Inputs!$F$60)</f>
        <v/>
      </c>
      <c r="I15" s="3">
        <f>I14*(Inputs!$F$59+Inputs!$F$60)</f>
        <v/>
      </c>
      <c r="J15" s="3">
        <f>J14*(Inputs!$F$59+Inputs!$F$60)</f>
        <v/>
      </c>
      <c r="K15" s="3">
        <f>K14*(Inputs!$F$59+Inputs!$F$60)</f>
        <v/>
      </c>
      <c r="L15" s="3">
        <f>L14*(Inputs!$F$59+Inputs!$F$60)</f>
        <v/>
      </c>
      <c r="M15" s="3">
        <f>M14*(Inputs!$F$59+Inputs!$F$60)</f>
        <v/>
      </c>
      <c r="N15" s="3">
        <f>N14*(Inputs!$F$59+Inputs!$F$60)</f>
        <v/>
      </c>
      <c r="O15" s="3">
        <f>O14*(Inputs!$F$59+Inputs!$F$60)</f>
        <v/>
      </c>
      <c r="P15" s="3">
        <f>P14*(Inputs!$F$59+Inputs!$F$60)</f>
        <v/>
      </c>
      <c r="Q15" s="3">
        <f>Q14*(Inputs!$F$59+Inputs!$F$60)</f>
        <v/>
      </c>
      <c r="R15" s="3">
        <f>R14*(Inputs!$F$59+Inputs!$F$60)</f>
        <v/>
      </c>
      <c r="S15" s="3">
        <f>S14*(Inputs!$F$59+Inputs!$F$60)</f>
        <v/>
      </c>
      <c r="T15" s="3">
        <f>T14*(Inputs!$F$59+Inputs!$F$60)</f>
        <v/>
      </c>
      <c r="U15" s="3">
        <f>U14*(Inputs!$F$59+Inputs!$F$60)</f>
        <v/>
      </c>
      <c r="V15" s="3">
        <f>V14*(Inputs!$F$59+Inputs!$F$60)</f>
        <v/>
      </c>
      <c r="W15" s="3">
        <f>W14*(Inputs!$F$59+Inputs!$F$60)</f>
        <v/>
      </c>
      <c r="X15" s="3">
        <f>X14*(Inputs!$F$59+Inputs!$F$60)</f>
        <v/>
      </c>
      <c r="Y15" s="3">
        <f>Y14*(Inputs!$F$59+Inputs!$F$60)</f>
        <v/>
      </c>
      <c r="Z15" s="3">
        <f>Z14*(Inputs!$F$59+Inputs!$F$60)</f>
        <v/>
      </c>
      <c r="AA15" s="3">
        <f>AA14*(Inputs!$F$59+Inputs!$F$60)</f>
        <v/>
      </c>
      <c r="AB15" s="3">
        <f>AB14*(Inputs!$F$59+Inputs!$F$60)</f>
        <v/>
      </c>
      <c r="AC15" s="3">
        <f>AC14*(Inputs!$F$59+Inputs!$F$60)</f>
        <v/>
      </c>
      <c r="AD15" s="3">
        <f>AD14*(Inputs!$F$59+Inputs!$F$60)</f>
        <v/>
      </c>
      <c r="AE15" s="3">
        <f>AE14*(Inputs!$F$59+Inputs!$F$60)</f>
        <v/>
      </c>
      <c r="AF15" s="3">
        <f>AF14*(Inputs!$F$59+Inputs!$F$60)</f>
        <v/>
      </c>
      <c r="AG15" s="3">
        <f>AG14*(Inputs!$F$59+Inputs!$F$60)</f>
        <v/>
      </c>
      <c r="AH15" s="3">
        <f>AH14*(Inputs!$F$59+Inputs!$F$60)</f>
        <v/>
      </c>
      <c r="AI15" s="3">
        <f>AI14*(Inputs!$F$59+Inputs!$F$60)</f>
        <v/>
      </c>
      <c r="AJ15" s="3">
        <f>AJ14*(Inputs!$F$59+Inputs!$F$60)</f>
        <v/>
      </c>
      <c r="AK15" s="3">
        <f>AK14*(Inputs!$F$59+Inputs!$F$60)</f>
        <v/>
      </c>
      <c r="AL15" s="3">
        <f>AL14*(Inputs!$F$59+Inputs!$F$60)</f>
        <v/>
      </c>
      <c r="AM15" s="3">
        <f>AM14*(Inputs!$F$59+Inputs!$F$60)</f>
        <v/>
      </c>
      <c r="AN15" s="3">
        <f>AN14*(Inputs!$F$59+Inputs!$F$60)</f>
        <v/>
      </c>
      <c r="AO15" s="3">
        <f>AO14*(Inputs!$F$59+Inputs!$F$60)</f>
        <v/>
      </c>
      <c r="AP15" s="3">
        <f>AP14*(Inputs!$F$59+Inputs!$F$60)</f>
        <v/>
      </c>
      <c r="AQ15" s="3">
        <f>AQ14*(Inputs!$F$59+Inputs!$F$60)</f>
        <v/>
      </c>
      <c r="AR15" s="3">
        <f>AR14*(Inputs!$F$59+Inputs!$F$60)</f>
        <v/>
      </c>
      <c r="AS15" s="3">
        <f>AS14*(Inputs!$F$59+Inputs!$F$60)</f>
        <v/>
      </c>
      <c r="AT15" s="3">
        <f>AT14*(Inputs!$F$59+Inputs!$F$60)</f>
        <v/>
      </c>
      <c r="AU15" s="3">
        <f>AU14*(Inputs!$F$59+Inputs!$F$60)</f>
        <v/>
      </c>
      <c r="AV15" s="3">
        <f>AV14*(Inputs!$F$59+Inputs!$F$60)</f>
        <v/>
      </c>
      <c r="AW15" s="3">
        <f>AW14*(Inputs!$F$59+Inputs!$F$60)</f>
        <v/>
      </c>
      <c r="AX15" s="3">
        <f>AX14*(Inputs!$F$59+Inputs!$F$60)</f>
        <v/>
      </c>
      <c r="AY15" s="3">
        <f>AY14*(Inputs!$F$59+Inputs!$F$60)</f>
        <v/>
      </c>
      <c r="AZ15" s="3">
        <f>AZ14*(Inputs!$F$59+Inputs!$F$60)</f>
        <v/>
      </c>
      <c r="BA15" s="3">
        <f>BA14*(Inputs!$F$59+Inputs!$F$60)</f>
        <v/>
      </c>
      <c r="BB15" s="3">
        <f>BB14*(Inputs!$F$59+Inputs!$F$60)</f>
        <v/>
      </c>
      <c r="BC15" s="3">
        <f>BC14*(Inputs!$F$59+Inputs!$F$60)</f>
        <v/>
      </c>
      <c r="BD15" s="3">
        <f>BD14*(Inputs!$F$59+Inputs!$F$60)</f>
        <v/>
      </c>
      <c r="BE15" s="3">
        <f>BE14*(Inputs!$F$59+Inputs!$F$60)</f>
        <v/>
      </c>
      <c r="BF15" s="3">
        <f>BF14*(Inputs!$F$59+Inputs!$F$60)</f>
        <v/>
      </c>
      <c r="BG15" s="3">
        <f>BG14*(Inputs!$F$59+Inputs!$F$60)</f>
        <v/>
      </c>
      <c r="BH15" s="3">
        <f>BH14*(Inputs!$F$59+Inputs!$F$60)</f>
        <v/>
      </c>
      <c r="BI15" s="3">
        <f>BI14*(Inputs!$F$59+Inputs!$F$60)</f>
        <v/>
      </c>
      <c r="BJ15" s="3">
        <f>BJ14*(Inputs!$F$59+Inputs!$F$60)</f>
        <v/>
      </c>
    </row>
    <row r="16">
      <c r="A16" t="inlineStr">
        <is>
          <t>Card fees</t>
        </is>
      </c>
      <c r="C16" s="3">
        <f>C13*Inputs!$F$61*Inputs!$F$62</f>
        <v/>
      </c>
      <c r="D16" s="3">
        <f>D13*Inputs!$F$61*Inputs!$F$62</f>
        <v/>
      </c>
      <c r="E16" s="3">
        <f>E13*Inputs!$F$61*Inputs!$F$62</f>
        <v/>
      </c>
      <c r="F16" s="3">
        <f>F13*Inputs!$F$61*Inputs!$F$62</f>
        <v/>
      </c>
      <c r="G16" s="3">
        <f>G13*Inputs!$F$61*Inputs!$F$62</f>
        <v/>
      </c>
      <c r="H16" s="3">
        <f>H13*Inputs!$F$61*Inputs!$F$62</f>
        <v/>
      </c>
      <c r="I16" s="3">
        <f>I13*Inputs!$F$61*Inputs!$F$62</f>
        <v/>
      </c>
      <c r="J16" s="3">
        <f>J13*Inputs!$F$61*Inputs!$F$62</f>
        <v/>
      </c>
      <c r="K16" s="3">
        <f>K13*Inputs!$F$61*Inputs!$F$62</f>
        <v/>
      </c>
      <c r="L16" s="3">
        <f>L13*Inputs!$F$61*Inputs!$F$62</f>
        <v/>
      </c>
      <c r="M16" s="3">
        <f>M13*Inputs!$F$61*Inputs!$F$62</f>
        <v/>
      </c>
      <c r="N16" s="3">
        <f>N13*Inputs!$F$61*Inputs!$F$62</f>
        <v/>
      </c>
      <c r="O16" s="3">
        <f>O13*Inputs!$F$61*Inputs!$F$62</f>
        <v/>
      </c>
      <c r="P16" s="3">
        <f>P13*Inputs!$F$61*Inputs!$F$62</f>
        <v/>
      </c>
      <c r="Q16" s="3">
        <f>Q13*Inputs!$F$61*Inputs!$F$62</f>
        <v/>
      </c>
      <c r="R16" s="3">
        <f>R13*Inputs!$F$61*Inputs!$F$62</f>
        <v/>
      </c>
      <c r="S16" s="3">
        <f>S13*Inputs!$F$61*Inputs!$F$62</f>
        <v/>
      </c>
      <c r="T16" s="3">
        <f>T13*Inputs!$F$61*Inputs!$F$62</f>
        <v/>
      </c>
      <c r="U16" s="3">
        <f>U13*Inputs!$F$61*Inputs!$F$62</f>
        <v/>
      </c>
      <c r="V16" s="3">
        <f>V13*Inputs!$F$61*Inputs!$F$62</f>
        <v/>
      </c>
      <c r="W16" s="3">
        <f>W13*Inputs!$F$61*Inputs!$F$62</f>
        <v/>
      </c>
      <c r="X16" s="3">
        <f>X13*Inputs!$F$61*Inputs!$F$62</f>
        <v/>
      </c>
      <c r="Y16" s="3">
        <f>Y13*Inputs!$F$61*Inputs!$F$62</f>
        <v/>
      </c>
      <c r="Z16" s="3">
        <f>Z13*Inputs!$F$61*Inputs!$F$62</f>
        <v/>
      </c>
      <c r="AA16" s="3">
        <f>AA13*Inputs!$F$61*Inputs!$F$62</f>
        <v/>
      </c>
      <c r="AB16" s="3">
        <f>AB13*Inputs!$F$61*Inputs!$F$62</f>
        <v/>
      </c>
      <c r="AC16" s="3">
        <f>AC13*Inputs!$F$61*Inputs!$F$62</f>
        <v/>
      </c>
      <c r="AD16" s="3">
        <f>AD13*Inputs!$F$61*Inputs!$F$62</f>
        <v/>
      </c>
      <c r="AE16" s="3">
        <f>AE13*Inputs!$F$61*Inputs!$F$62</f>
        <v/>
      </c>
      <c r="AF16" s="3">
        <f>AF13*Inputs!$F$61*Inputs!$F$62</f>
        <v/>
      </c>
      <c r="AG16" s="3">
        <f>AG13*Inputs!$F$61*Inputs!$F$62</f>
        <v/>
      </c>
      <c r="AH16" s="3">
        <f>AH13*Inputs!$F$61*Inputs!$F$62</f>
        <v/>
      </c>
      <c r="AI16" s="3">
        <f>AI13*Inputs!$F$61*Inputs!$F$62</f>
        <v/>
      </c>
      <c r="AJ16" s="3">
        <f>AJ13*Inputs!$F$61*Inputs!$F$62</f>
        <v/>
      </c>
      <c r="AK16" s="3">
        <f>AK13*Inputs!$F$61*Inputs!$F$62</f>
        <v/>
      </c>
      <c r="AL16" s="3">
        <f>AL13*Inputs!$F$61*Inputs!$F$62</f>
        <v/>
      </c>
      <c r="AM16" s="3">
        <f>AM13*Inputs!$F$61*Inputs!$F$62</f>
        <v/>
      </c>
      <c r="AN16" s="3">
        <f>AN13*Inputs!$F$61*Inputs!$F$62</f>
        <v/>
      </c>
      <c r="AO16" s="3">
        <f>AO13*Inputs!$F$61*Inputs!$F$62</f>
        <v/>
      </c>
      <c r="AP16" s="3">
        <f>AP13*Inputs!$F$61*Inputs!$F$62</f>
        <v/>
      </c>
      <c r="AQ16" s="3">
        <f>AQ13*Inputs!$F$61*Inputs!$F$62</f>
        <v/>
      </c>
      <c r="AR16" s="3">
        <f>AR13*Inputs!$F$61*Inputs!$F$62</f>
        <v/>
      </c>
      <c r="AS16" s="3">
        <f>AS13*Inputs!$F$61*Inputs!$F$62</f>
        <v/>
      </c>
      <c r="AT16" s="3">
        <f>AT13*Inputs!$F$61*Inputs!$F$62</f>
        <v/>
      </c>
      <c r="AU16" s="3">
        <f>AU13*Inputs!$F$61*Inputs!$F$62</f>
        <v/>
      </c>
      <c r="AV16" s="3">
        <f>AV13*Inputs!$F$61*Inputs!$F$62</f>
        <v/>
      </c>
      <c r="AW16" s="3">
        <f>AW13*Inputs!$F$61*Inputs!$F$62</f>
        <v/>
      </c>
      <c r="AX16" s="3">
        <f>AX13*Inputs!$F$61*Inputs!$F$62</f>
        <v/>
      </c>
      <c r="AY16" s="3">
        <f>AY13*Inputs!$F$61*Inputs!$F$62</f>
        <v/>
      </c>
      <c r="AZ16" s="3">
        <f>AZ13*Inputs!$F$61*Inputs!$F$62</f>
        <v/>
      </c>
      <c r="BA16" s="3">
        <f>BA13*Inputs!$F$61*Inputs!$F$62</f>
        <v/>
      </c>
      <c r="BB16" s="3">
        <f>BB13*Inputs!$F$61*Inputs!$F$62</f>
        <v/>
      </c>
      <c r="BC16" s="3">
        <f>BC13*Inputs!$F$61*Inputs!$F$62</f>
        <v/>
      </c>
      <c r="BD16" s="3">
        <f>BD13*Inputs!$F$61*Inputs!$F$62</f>
        <v/>
      </c>
      <c r="BE16" s="3">
        <f>BE13*Inputs!$F$61*Inputs!$F$62</f>
        <v/>
      </c>
      <c r="BF16" s="3">
        <f>BF13*Inputs!$F$61*Inputs!$F$62</f>
        <v/>
      </c>
      <c r="BG16" s="3">
        <f>BG13*Inputs!$F$61*Inputs!$F$62</f>
        <v/>
      </c>
      <c r="BH16" s="3">
        <f>BH13*Inputs!$F$61*Inputs!$F$62</f>
        <v/>
      </c>
      <c r="BI16" s="3">
        <f>BI13*Inputs!$F$61*Inputs!$F$62</f>
        <v/>
      </c>
      <c r="BJ16" s="3">
        <f>BJ13*Inputs!$F$61*Inputs!$F$62</f>
        <v/>
      </c>
    </row>
    <row r="17">
      <c r="A17" t="inlineStr">
        <is>
          <t>Marketing</t>
        </is>
      </c>
      <c r="C17" s="3">
        <f>C14*Inputs!$F$63+IF(C3&lt;=3,Inputs!$F$64/3,0)</f>
        <v/>
      </c>
      <c r="D17" s="3">
        <f>D14*Inputs!$F$63+IF(D3&lt;=3,Inputs!$F$64/3,0)</f>
        <v/>
      </c>
      <c r="E17" s="3">
        <f>E14*Inputs!$F$63+IF(E3&lt;=3,Inputs!$F$64/3,0)</f>
        <v/>
      </c>
      <c r="F17" s="3">
        <f>F14*Inputs!$F$63+IF(F3&lt;=3,Inputs!$F$64/3,0)</f>
        <v/>
      </c>
      <c r="G17" s="3">
        <f>G14*Inputs!$F$63+IF(G3&lt;=3,Inputs!$F$64/3,0)</f>
        <v/>
      </c>
      <c r="H17" s="3">
        <f>H14*Inputs!$F$63+IF(H3&lt;=3,Inputs!$F$64/3,0)</f>
        <v/>
      </c>
      <c r="I17" s="3">
        <f>I14*Inputs!$F$63+IF(I3&lt;=3,Inputs!$F$64/3,0)</f>
        <v/>
      </c>
      <c r="J17" s="3">
        <f>J14*Inputs!$F$63+IF(J3&lt;=3,Inputs!$F$64/3,0)</f>
        <v/>
      </c>
      <c r="K17" s="3">
        <f>K14*Inputs!$F$63+IF(K3&lt;=3,Inputs!$F$64/3,0)</f>
        <v/>
      </c>
      <c r="L17" s="3">
        <f>L14*Inputs!$F$63+IF(L3&lt;=3,Inputs!$F$64/3,0)</f>
        <v/>
      </c>
      <c r="M17" s="3">
        <f>M14*Inputs!$F$63+IF(M3&lt;=3,Inputs!$F$64/3,0)</f>
        <v/>
      </c>
      <c r="N17" s="3">
        <f>N14*Inputs!$F$63+IF(N3&lt;=3,Inputs!$F$64/3,0)</f>
        <v/>
      </c>
      <c r="O17" s="3">
        <f>O14*Inputs!$F$63+IF(O3&lt;=3,Inputs!$F$64/3,0)</f>
        <v/>
      </c>
      <c r="P17" s="3">
        <f>P14*Inputs!$F$63+IF(P3&lt;=3,Inputs!$F$64/3,0)</f>
        <v/>
      </c>
      <c r="Q17" s="3">
        <f>Q14*Inputs!$F$63+IF(Q3&lt;=3,Inputs!$F$64/3,0)</f>
        <v/>
      </c>
      <c r="R17" s="3">
        <f>R14*Inputs!$F$63+IF(R3&lt;=3,Inputs!$F$64/3,0)</f>
        <v/>
      </c>
      <c r="S17" s="3">
        <f>S14*Inputs!$F$63+IF(S3&lt;=3,Inputs!$F$64/3,0)</f>
        <v/>
      </c>
      <c r="T17" s="3">
        <f>T14*Inputs!$F$63+IF(T3&lt;=3,Inputs!$F$64/3,0)</f>
        <v/>
      </c>
      <c r="U17" s="3">
        <f>U14*Inputs!$F$63+IF(U3&lt;=3,Inputs!$F$64/3,0)</f>
        <v/>
      </c>
      <c r="V17" s="3">
        <f>V14*Inputs!$F$63+IF(V3&lt;=3,Inputs!$F$64/3,0)</f>
        <v/>
      </c>
      <c r="W17" s="3">
        <f>W14*Inputs!$F$63+IF(W3&lt;=3,Inputs!$F$64/3,0)</f>
        <v/>
      </c>
      <c r="X17" s="3">
        <f>X14*Inputs!$F$63+IF(X3&lt;=3,Inputs!$F$64/3,0)</f>
        <v/>
      </c>
      <c r="Y17" s="3">
        <f>Y14*Inputs!$F$63+IF(Y3&lt;=3,Inputs!$F$64/3,0)</f>
        <v/>
      </c>
      <c r="Z17" s="3">
        <f>Z14*Inputs!$F$63+IF(Z3&lt;=3,Inputs!$F$64/3,0)</f>
        <v/>
      </c>
      <c r="AA17" s="3">
        <f>AA14*Inputs!$F$63+IF(AA3&lt;=3,Inputs!$F$64/3,0)</f>
        <v/>
      </c>
      <c r="AB17" s="3">
        <f>AB14*Inputs!$F$63+IF(AB3&lt;=3,Inputs!$F$64/3,0)</f>
        <v/>
      </c>
      <c r="AC17" s="3">
        <f>AC14*Inputs!$F$63+IF(AC3&lt;=3,Inputs!$F$64/3,0)</f>
        <v/>
      </c>
      <c r="AD17" s="3">
        <f>AD14*Inputs!$F$63+IF(AD3&lt;=3,Inputs!$F$64/3,0)</f>
        <v/>
      </c>
      <c r="AE17" s="3">
        <f>AE14*Inputs!$F$63+IF(AE3&lt;=3,Inputs!$F$64/3,0)</f>
        <v/>
      </c>
      <c r="AF17" s="3">
        <f>AF14*Inputs!$F$63+IF(AF3&lt;=3,Inputs!$F$64/3,0)</f>
        <v/>
      </c>
      <c r="AG17" s="3">
        <f>AG14*Inputs!$F$63+IF(AG3&lt;=3,Inputs!$F$64/3,0)</f>
        <v/>
      </c>
      <c r="AH17" s="3">
        <f>AH14*Inputs!$F$63+IF(AH3&lt;=3,Inputs!$F$64/3,0)</f>
        <v/>
      </c>
      <c r="AI17" s="3">
        <f>AI14*Inputs!$F$63+IF(AI3&lt;=3,Inputs!$F$64/3,0)</f>
        <v/>
      </c>
      <c r="AJ17" s="3">
        <f>AJ14*Inputs!$F$63+IF(AJ3&lt;=3,Inputs!$F$64/3,0)</f>
        <v/>
      </c>
      <c r="AK17" s="3">
        <f>AK14*Inputs!$F$63+IF(AK3&lt;=3,Inputs!$F$64/3,0)</f>
        <v/>
      </c>
      <c r="AL17" s="3">
        <f>AL14*Inputs!$F$63+IF(AL3&lt;=3,Inputs!$F$64/3,0)</f>
        <v/>
      </c>
      <c r="AM17" s="3">
        <f>AM14*Inputs!$F$63+IF(AM3&lt;=3,Inputs!$F$64/3,0)</f>
        <v/>
      </c>
      <c r="AN17" s="3">
        <f>AN14*Inputs!$F$63+IF(AN3&lt;=3,Inputs!$F$64/3,0)</f>
        <v/>
      </c>
      <c r="AO17" s="3">
        <f>AO14*Inputs!$F$63+IF(AO3&lt;=3,Inputs!$F$64/3,0)</f>
        <v/>
      </c>
      <c r="AP17" s="3">
        <f>AP14*Inputs!$F$63+IF(AP3&lt;=3,Inputs!$F$64/3,0)</f>
        <v/>
      </c>
      <c r="AQ17" s="3">
        <f>AQ14*Inputs!$F$63+IF(AQ3&lt;=3,Inputs!$F$64/3,0)</f>
        <v/>
      </c>
      <c r="AR17" s="3">
        <f>AR14*Inputs!$F$63+IF(AR3&lt;=3,Inputs!$F$64/3,0)</f>
        <v/>
      </c>
      <c r="AS17" s="3">
        <f>AS14*Inputs!$F$63+IF(AS3&lt;=3,Inputs!$F$64/3,0)</f>
        <v/>
      </c>
      <c r="AT17" s="3">
        <f>AT14*Inputs!$F$63+IF(AT3&lt;=3,Inputs!$F$64/3,0)</f>
        <v/>
      </c>
      <c r="AU17" s="3">
        <f>AU14*Inputs!$F$63+IF(AU3&lt;=3,Inputs!$F$64/3,0)</f>
        <v/>
      </c>
      <c r="AV17" s="3">
        <f>AV14*Inputs!$F$63+IF(AV3&lt;=3,Inputs!$F$64/3,0)</f>
        <v/>
      </c>
      <c r="AW17" s="3">
        <f>AW14*Inputs!$F$63+IF(AW3&lt;=3,Inputs!$F$64/3,0)</f>
        <v/>
      </c>
      <c r="AX17" s="3">
        <f>AX14*Inputs!$F$63+IF(AX3&lt;=3,Inputs!$F$64/3,0)</f>
        <v/>
      </c>
      <c r="AY17" s="3">
        <f>AY14*Inputs!$F$63+IF(AY3&lt;=3,Inputs!$F$64/3,0)</f>
        <v/>
      </c>
      <c r="AZ17" s="3">
        <f>AZ14*Inputs!$F$63+IF(AZ3&lt;=3,Inputs!$F$64/3,0)</f>
        <v/>
      </c>
      <c r="BA17" s="3">
        <f>BA14*Inputs!$F$63+IF(BA3&lt;=3,Inputs!$F$64/3,0)</f>
        <v/>
      </c>
      <c r="BB17" s="3">
        <f>BB14*Inputs!$F$63+IF(BB3&lt;=3,Inputs!$F$64/3,0)</f>
        <v/>
      </c>
      <c r="BC17" s="3">
        <f>BC14*Inputs!$F$63+IF(BC3&lt;=3,Inputs!$F$64/3,0)</f>
        <v/>
      </c>
      <c r="BD17" s="3">
        <f>BD14*Inputs!$F$63+IF(BD3&lt;=3,Inputs!$F$64/3,0)</f>
        <v/>
      </c>
      <c r="BE17" s="3">
        <f>BE14*Inputs!$F$63+IF(BE3&lt;=3,Inputs!$F$64/3,0)</f>
        <v/>
      </c>
      <c r="BF17" s="3">
        <f>BF14*Inputs!$F$63+IF(BF3&lt;=3,Inputs!$F$64/3,0)</f>
        <v/>
      </c>
      <c r="BG17" s="3">
        <f>BG14*Inputs!$F$63+IF(BG3&lt;=3,Inputs!$F$64/3,0)</f>
        <v/>
      </c>
      <c r="BH17" s="3">
        <f>BH14*Inputs!$F$63+IF(BH3&lt;=3,Inputs!$F$64/3,0)</f>
        <v/>
      </c>
      <c r="BI17" s="3">
        <f>BI14*Inputs!$F$63+IF(BI3&lt;=3,Inputs!$F$64/3,0)</f>
        <v/>
      </c>
      <c r="BJ17" s="3">
        <f>BJ14*Inputs!$F$63+IF(BJ3&lt;=3,Inputs!$F$64/3,0)</f>
        <v/>
      </c>
    </row>
    <row r="18">
      <c r="A18" t="inlineStr">
        <is>
          <t>Repairs &amp; maintenance</t>
        </is>
      </c>
      <c r="C18" s="3">
        <f>C14*Inputs!$F$65</f>
        <v/>
      </c>
      <c r="D18" s="3">
        <f>D14*Inputs!$F$65</f>
        <v/>
      </c>
      <c r="E18" s="3">
        <f>E14*Inputs!$F$65</f>
        <v/>
      </c>
      <c r="F18" s="3">
        <f>F14*Inputs!$F$65</f>
        <v/>
      </c>
      <c r="G18" s="3">
        <f>G14*Inputs!$F$65</f>
        <v/>
      </c>
      <c r="H18" s="3">
        <f>H14*Inputs!$F$65</f>
        <v/>
      </c>
      <c r="I18" s="3">
        <f>I14*Inputs!$F$65</f>
        <v/>
      </c>
      <c r="J18" s="3">
        <f>J14*Inputs!$F$65</f>
        <v/>
      </c>
      <c r="K18" s="3">
        <f>K14*Inputs!$F$65</f>
        <v/>
      </c>
      <c r="L18" s="3">
        <f>L14*Inputs!$F$65</f>
        <v/>
      </c>
      <c r="M18" s="3">
        <f>M14*Inputs!$F$65</f>
        <v/>
      </c>
      <c r="N18" s="3">
        <f>N14*Inputs!$F$65</f>
        <v/>
      </c>
      <c r="O18" s="3">
        <f>O14*Inputs!$F$65</f>
        <v/>
      </c>
      <c r="P18" s="3">
        <f>P14*Inputs!$F$65</f>
        <v/>
      </c>
      <c r="Q18" s="3">
        <f>Q14*Inputs!$F$65</f>
        <v/>
      </c>
      <c r="R18" s="3">
        <f>R14*Inputs!$F$65</f>
        <v/>
      </c>
      <c r="S18" s="3">
        <f>S14*Inputs!$F$65</f>
        <v/>
      </c>
      <c r="T18" s="3">
        <f>T14*Inputs!$F$65</f>
        <v/>
      </c>
      <c r="U18" s="3">
        <f>U14*Inputs!$F$65</f>
        <v/>
      </c>
      <c r="V18" s="3">
        <f>V14*Inputs!$F$65</f>
        <v/>
      </c>
      <c r="W18" s="3">
        <f>W14*Inputs!$F$65</f>
        <v/>
      </c>
      <c r="X18" s="3">
        <f>X14*Inputs!$F$65</f>
        <v/>
      </c>
      <c r="Y18" s="3">
        <f>Y14*Inputs!$F$65</f>
        <v/>
      </c>
      <c r="Z18" s="3">
        <f>Z14*Inputs!$F$65</f>
        <v/>
      </c>
      <c r="AA18" s="3">
        <f>AA14*Inputs!$F$65</f>
        <v/>
      </c>
      <c r="AB18" s="3">
        <f>AB14*Inputs!$F$65</f>
        <v/>
      </c>
      <c r="AC18" s="3">
        <f>AC14*Inputs!$F$65</f>
        <v/>
      </c>
      <c r="AD18" s="3">
        <f>AD14*Inputs!$F$65</f>
        <v/>
      </c>
      <c r="AE18" s="3">
        <f>AE14*Inputs!$F$65</f>
        <v/>
      </c>
      <c r="AF18" s="3">
        <f>AF14*Inputs!$F$65</f>
        <v/>
      </c>
      <c r="AG18" s="3">
        <f>AG14*Inputs!$F$65</f>
        <v/>
      </c>
      <c r="AH18" s="3">
        <f>AH14*Inputs!$F$65</f>
        <v/>
      </c>
      <c r="AI18" s="3">
        <f>AI14*Inputs!$F$65</f>
        <v/>
      </c>
      <c r="AJ18" s="3">
        <f>AJ14*Inputs!$F$65</f>
        <v/>
      </c>
      <c r="AK18" s="3">
        <f>AK14*Inputs!$F$65</f>
        <v/>
      </c>
      <c r="AL18" s="3">
        <f>AL14*Inputs!$F$65</f>
        <v/>
      </c>
      <c r="AM18" s="3">
        <f>AM14*Inputs!$F$65</f>
        <v/>
      </c>
      <c r="AN18" s="3">
        <f>AN14*Inputs!$F$65</f>
        <v/>
      </c>
      <c r="AO18" s="3">
        <f>AO14*Inputs!$F$65</f>
        <v/>
      </c>
      <c r="AP18" s="3">
        <f>AP14*Inputs!$F$65</f>
        <v/>
      </c>
      <c r="AQ18" s="3">
        <f>AQ14*Inputs!$F$65</f>
        <v/>
      </c>
      <c r="AR18" s="3">
        <f>AR14*Inputs!$F$65</f>
        <v/>
      </c>
      <c r="AS18" s="3">
        <f>AS14*Inputs!$F$65</f>
        <v/>
      </c>
      <c r="AT18" s="3">
        <f>AT14*Inputs!$F$65</f>
        <v/>
      </c>
      <c r="AU18" s="3">
        <f>AU14*Inputs!$F$65</f>
        <v/>
      </c>
      <c r="AV18" s="3">
        <f>AV14*Inputs!$F$65</f>
        <v/>
      </c>
      <c r="AW18" s="3">
        <f>AW14*Inputs!$F$65</f>
        <v/>
      </c>
      <c r="AX18" s="3">
        <f>AX14*Inputs!$F$65</f>
        <v/>
      </c>
      <c r="AY18" s="3">
        <f>AY14*Inputs!$F$65</f>
        <v/>
      </c>
      <c r="AZ18" s="3">
        <f>AZ14*Inputs!$F$65</f>
        <v/>
      </c>
      <c r="BA18" s="3">
        <f>BA14*Inputs!$F$65</f>
        <v/>
      </c>
      <c r="BB18" s="3">
        <f>BB14*Inputs!$F$65</f>
        <v/>
      </c>
      <c r="BC18" s="3">
        <f>BC14*Inputs!$F$65</f>
        <v/>
      </c>
      <c r="BD18" s="3">
        <f>BD14*Inputs!$F$65</f>
        <v/>
      </c>
      <c r="BE18" s="3">
        <f>BE14*Inputs!$F$65</f>
        <v/>
      </c>
      <c r="BF18" s="3">
        <f>BF14*Inputs!$F$65</f>
        <v/>
      </c>
      <c r="BG18" s="3">
        <f>BG14*Inputs!$F$65</f>
        <v/>
      </c>
      <c r="BH18" s="3">
        <f>BH14*Inputs!$F$65</f>
        <v/>
      </c>
      <c r="BI18" s="3">
        <f>BI14*Inputs!$F$65</f>
        <v/>
      </c>
      <c r="BJ18" s="3">
        <f>BJ14*Inputs!$F$65</f>
        <v/>
      </c>
    </row>
    <row r="19">
      <c r="A19" t="inlineStr">
        <is>
          <t>Other variable</t>
        </is>
      </c>
      <c r="C19" s="3">
        <f>C14*Inputs!$F$66</f>
        <v/>
      </c>
      <c r="D19" s="3">
        <f>D14*Inputs!$F$66</f>
        <v/>
      </c>
      <c r="E19" s="3">
        <f>E14*Inputs!$F$66</f>
        <v/>
      </c>
      <c r="F19" s="3">
        <f>F14*Inputs!$F$66</f>
        <v/>
      </c>
      <c r="G19" s="3">
        <f>G14*Inputs!$F$66</f>
        <v/>
      </c>
      <c r="H19" s="3">
        <f>H14*Inputs!$F$66</f>
        <v/>
      </c>
      <c r="I19" s="3">
        <f>I14*Inputs!$F$66</f>
        <v/>
      </c>
      <c r="J19" s="3">
        <f>J14*Inputs!$F$66</f>
        <v/>
      </c>
      <c r="K19" s="3">
        <f>K14*Inputs!$F$66</f>
        <v/>
      </c>
      <c r="L19" s="3">
        <f>L14*Inputs!$F$66</f>
        <v/>
      </c>
      <c r="M19" s="3">
        <f>M14*Inputs!$F$66</f>
        <v/>
      </c>
      <c r="N19" s="3">
        <f>N14*Inputs!$F$66</f>
        <v/>
      </c>
      <c r="O19" s="3">
        <f>O14*Inputs!$F$66</f>
        <v/>
      </c>
      <c r="P19" s="3">
        <f>P14*Inputs!$F$66</f>
        <v/>
      </c>
      <c r="Q19" s="3">
        <f>Q14*Inputs!$F$66</f>
        <v/>
      </c>
      <c r="R19" s="3">
        <f>R14*Inputs!$F$66</f>
        <v/>
      </c>
      <c r="S19" s="3">
        <f>S14*Inputs!$F$66</f>
        <v/>
      </c>
      <c r="T19" s="3">
        <f>T14*Inputs!$F$66</f>
        <v/>
      </c>
      <c r="U19" s="3">
        <f>U14*Inputs!$F$66</f>
        <v/>
      </c>
      <c r="V19" s="3">
        <f>V14*Inputs!$F$66</f>
        <v/>
      </c>
      <c r="W19" s="3">
        <f>W14*Inputs!$F$66</f>
        <v/>
      </c>
      <c r="X19" s="3">
        <f>X14*Inputs!$F$66</f>
        <v/>
      </c>
      <c r="Y19" s="3">
        <f>Y14*Inputs!$F$66</f>
        <v/>
      </c>
      <c r="Z19" s="3">
        <f>Z14*Inputs!$F$66</f>
        <v/>
      </c>
      <c r="AA19" s="3">
        <f>AA14*Inputs!$F$66</f>
        <v/>
      </c>
      <c r="AB19" s="3">
        <f>AB14*Inputs!$F$66</f>
        <v/>
      </c>
      <c r="AC19" s="3">
        <f>AC14*Inputs!$F$66</f>
        <v/>
      </c>
      <c r="AD19" s="3">
        <f>AD14*Inputs!$F$66</f>
        <v/>
      </c>
      <c r="AE19" s="3">
        <f>AE14*Inputs!$F$66</f>
        <v/>
      </c>
      <c r="AF19" s="3">
        <f>AF14*Inputs!$F$66</f>
        <v/>
      </c>
      <c r="AG19" s="3">
        <f>AG14*Inputs!$F$66</f>
        <v/>
      </c>
      <c r="AH19" s="3">
        <f>AH14*Inputs!$F$66</f>
        <v/>
      </c>
      <c r="AI19" s="3">
        <f>AI14*Inputs!$F$66</f>
        <v/>
      </c>
      <c r="AJ19" s="3">
        <f>AJ14*Inputs!$F$66</f>
        <v/>
      </c>
      <c r="AK19" s="3">
        <f>AK14*Inputs!$F$66</f>
        <v/>
      </c>
      <c r="AL19" s="3">
        <f>AL14*Inputs!$F$66</f>
        <v/>
      </c>
      <c r="AM19" s="3">
        <f>AM14*Inputs!$F$66</f>
        <v/>
      </c>
      <c r="AN19" s="3">
        <f>AN14*Inputs!$F$66</f>
        <v/>
      </c>
      <c r="AO19" s="3">
        <f>AO14*Inputs!$F$66</f>
        <v/>
      </c>
      <c r="AP19" s="3">
        <f>AP14*Inputs!$F$66</f>
        <v/>
      </c>
      <c r="AQ19" s="3">
        <f>AQ14*Inputs!$F$66</f>
        <v/>
      </c>
      <c r="AR19" s="3">
        <f>AR14*Inputs!$F$66</f>
        <v/>
      </c>
      <c r="AS19" s="3">
        <f>AS14*Inputs!$F$66</f>
        <v/>
      </c>
      <c r="AT19" s="3">
        <f>AT14*Inputs!$F$66</f>
        <v/>
      </c>
      <c r="AU19" s="3">
        <f>AU14*Inputs!$F$66</f>
        <v/>
      </c>
      <c r="AV19" s="3">
        <f>AV14*Inputs!$F$66</f>
        <v/>
      </c>
      <c r="AW19" s="3">
        <f>AW14*Inputs!$F$66</f>
        <v/>
      </c>
      <c r="AX19" s="3">
        <f>AX14*Inputs!$F$66</f>
        <v/>
      </c>
      <c r="AY19" s="3">
        <f>AY14*Inputs!$F$66</f>
        <v/>
      </c>
      <c r="AZ19" s="3">
        <f>AZ14*Inputs!$F$66</f>
        <v/>
      </c>
      <c r="BA19" s="3">
        <f>BA14*Inputs!$F$66</f>
        <v/>
      </c>
      <c r="BB19" s="3">
        <f>BB14*Inputs!$F$66</f>
        <v/>
      </c>
      <c r="BC19" s="3">
        <f>BC14*Inputs!$F$66</f>
        <v/>
      </c>
      <c r="BD19" s="3">
        <f>BD14*Inputs!$F$66</f>
        <v/>
      </c>
      <c r="BE19" s="3">
        <f>BE14*Inputs!$F$66</f>
        <v/>
      </c>
      <c r="BF19" s="3">
        <f>BF14*Inputs!$F$66</f>
        <v/>
      </c>
      <c r="BG19" s="3">
        <f>BG14*Inputs!$F$66</f>
        <v/>
      </c>
      <c r="BH19" s="3">
        <f>BH14*Inputs!$F$66</f>
        <v/>
      </c>
      <c r="BI19" s="3">
        <f>BI14*Inputs!$F$66</f>
        <v/>
      </c>
      <c r="BJ19" s="3">
        <f>BJ14*Inputs!$F$66</f>
        <v/>
      </c>
    </row>
    <row r="20">
      <c r="A20" t="inlineStr">
        <is>
          <t>Utilities</t>
        </is>
      </c>
      <c r="C20" s="3">
        <f>INDEX(Inputs!$D$84:$F$84,1,Inputs!$E$17)*(1+Inputs!$F$74)^(C4-1)+C14*Inputs!$F$67</f>
        <v/>
      </c>
      <c r="D20" s="3">
        <f>INDEX(Inputs!$D$84:$F$84,1,Inputs!$E$17)*(1+Inputs!$F$74)^(D4-1)+D14*Inputs!$F$67</f>
        <v/>
      </c>
      <c r="E20" s="3">
        <f>INDEX(Inputs!$D$84:$F$84,1,Inputs!$E$17)*(1+Inputs!$F$74)^(E4-1)+E14*Inputs!$F$67</f>
        <v/>
      </c>
      <c r="F20" s="3">
        <f>INDEX(Inputs!$D$84:$F$84,1,Inputs!$E$17)*(1+Inputs!$F$74)^(F4-1)+F14*Inputs!$F$67</f>
        <v/>
      </c>
      <c r="G20" s="3">
        <f>INDEX(Inputs!$D$84:$F$84,1,Inputs!$E$17)*(1+Inputs!$F$74)^(G4-1)+G14*Inputs!$F$67</f>
        <v/>
      </c>
      <c r="H20" s="3">
        <f>INDEX(Inputs!$D$84:$F$84,1,Inputs!$E$17)*(1+Inputs!$F$74)^(H4-1)+H14*Inputs!$F$67</f>
        <v/>
      </c>
      <c r="I20" s="3">
        <f>INDEX(Inputs!$D$84:$F$84,1,Inputs!$E$17)*(1+Inputs!$F$74)^(I4-1)+I14*Inputs!$F$67</f>
        <v/>
      </c>
      <c r="J20" s="3">
        <f>INDEX(Inputs!$D$84:$F$84,1,Inputs!$E$17)*(1+Inputs!$F$74)^(J4-1)+J14*Inputs!$F$67</f>
        <v/>
      </c>
      <c r="K20" s="3">
        <f>INDEX(Inputs!$D$84:$F$84,1,Inputs!$E$17)*(1+Inputs!$F$74)^(K4-1)+K14*Inputs!$F$67</f>
        <v/>
      </c>
      <c r="L20" s="3">
        <f>INDEX(Inputs!$D$84:$F$84,1,Inputs!$E$17)*(1+Inputs!$F$74)^(L4-1)+L14*Inputs!$F$67</f>
        <v/>
      </c>
      <c r="M20" s="3">
        <f>INDEX(Inputs!$D$84:$F$84,1,Inputs!$E$17)*(1+Inputs!$F$74)^(M4-1)+M14*Inputs!$F$67</f>
        <v/>
      </c>
      <c r="N20" s="3">
        <f>INDEX(Inputs!$D$84:$F$84,1,Inputs!$E$17)*(1+Inputs!$F$74)^(N4-1)+N14*Inputs!$F$67</f>
        <v/>
      </c>
      <c r="O20" s="3">
        <f>INDEX(Inputs!$D$84:$F$84,1,Inputs!$E$17)*(1+Inputs!$F$74)^(O4-1)+O14*Inputs!$F$67</f>
        <v/>
      </c>
      <c r="P20" s="3">
        <f>INDEX(Inputs!$D$84:$F$84,1,Inputs!$E$17)*(1+Inputs!$F$74)^(P4-1)+P14*Inputs!$F$67</f>
        <v/>
      </c>
      <c r="Q20" s="3">
        <f>INDEX(Inputs!$D$84:$F$84,1,Inputs!$E$17)*(1+Inputs!$F$74)^(Q4-1)+Q14*Inputs!$F$67</f>
        <v/>
      </c>
      <c r="R20" s="3">
        <f>INDEX(Inputs!$D$84:$F$84,1,Inputs!$E$17)*(1+Inputs!$F$74)^(R4-1)+R14*Inputs!$F$67</f>
        <v/>
      </c>
      <c r="S20" s="3">
        <f>INDEX(Inputs!$D$84:$F$84,1,Inputs!$E$17)*(1+Inputs!$F$74)^(S4-1)+S14*Inputs!$F$67</f>
        <v/>
      </c>
      <c r="T20" s="3">
        <f>INDEX(Inputs!$D$84:$F$84,1,Inputs!$E$17)*(1+Inputs!$F$74)^(T4-1)+T14*Inputs!$F$67</f>
        <v/>
      </c>
      <c r="U20" s="3">
        <f>INDEX(Inputs!$D$84:$F$84,1,Inputs!$E$17)*(1+Inputs!$F$74)^(U4-1)+U14*Inputs!$F$67</f>
        <v/>
      </c>
      <c r="V20" s="3">
        <f>INDEX(Inputs!$D$84:$F$84,1,Inputs!$E$17)*(1+Inputs!$F$74)^(V4-1)+V14*Inputs!$F$67</f>
        <v/>
      </c>
      <c r="W20" s="3">
        <f>INDEX(Inputs!$D$84:$F$84,1,Inputs!$E$17)*(1+Inputs!$F$74)^(W4-1)+W14*Inputs!$F$67</f>
        <v/>
      </c>
      <c r="X20" s="3">
        <f>INDEX(Inputs!$D$84:$F$84,1,Inputs!$E$17)*(1+Inputs!$F$74)^(X4-1)+X14*Inputs!$F$67</f>
        <v/>
      </c>
      <c r="Y20" s="3">
        <f>INDEX(Inputs!$D$84:$F$84,1,Inputs!$E$17)*(1+Inputs!$F$74)^(Y4-1)+Y14*Inputs!$F$67</f>
        <v/>
      </c>
      <c r="Z20" s="3">
        <f>INDEX(Inputs!$D$84:$F$84,1,Inputs!$E$17)*(1+Inputs!$F$74)^(Z4-1)+Z14*Inputs!$F$67</f>
        <v/>
      </c>
      <c r="AA20" s="3">
        <f>INDEX(Inputs!$D$84:$F$84,1,Inputs!$E$17)*(1+Inputs!$F$74)^(AA4-1)+AA14*Inputs!$F$67</f>
        <v/>
      </c>
      <c r="AB20" s="3">
        <f>INDEX(Inputs!$D$84:$F$84,1,Inputs!$E$17)*(1+Inputs!$F$74)^(AB4-1)+AB14*Inputs!$F$67</f>
        <v/>
      </c>
      <c r="AC20" s="3">
        <f>INDEX(Inputs!$D$84:$F$84,1,Inputs!$E$17)*(1+Inputs!$F$74)^(AC4-1)+AC14*Inputs!$F$67</f>
        <v/>
      </c>
      <c r="AD20" s="3">
        <f>INDEX(Inputs!$D$84:$F$84,1,Inputs!$E$17)*(1+Inputs!$F$74)^(AD4-1)+AD14*Inputs!$F$67</f>
        <v/>
      </c>
      <c r="AE20" s="3">
        <f>INDEX(Inputs!$D$84:$F$84,1,Inputs!$E$17)*(1+Inputs!$F$74)^(AE4-1)+AE14*Inputs!$F$67</f>
        <v/>
      </c>
      <c r="AF20" s="3">
        <f>INDEX(Inputs!$D$84:$F$84,1,Inputs!$E$17)*(1+Inputs!$F$74)^(AF4-1)+AF14*Inputs!$F$67</f>
        <v/>
      </c>
      <c r="AG20" s="3">
        <f>INDEX(Inputs!$D$84:$F$84,1,Inputs!$E$17)*(1+Inputs!$F$74)^(AG4-1)+AG14*Inputs!$F$67</f>
        <v/>
      </c>
      <c r="AH20" s="3">
        <f>INDEX(Inputs!$D$84:$F$84,1,Inputs!$E$17)*(1+Inputs!$F$74)^(AH4-1)+AH14*Inputs!$F$67</f>
        <v/>
      </c>
      <c r="AI20" s="3">
        <f>INDEX(Inputs!$D$84:$F$84,1,Inputs!$E$17)*(1+Inputs!$F$74)^(AI4-1)+AI14*Inputs!$F$67</f>
        <v/>
      </c>
      <c r="AJ20" s="3">
        <f>INDEX(Inputs!$D$84:$F$84,1,Inputs!$E$17)*(1+Inputs!$F$74)^(AJ4-1)+AJ14*Inputs!$F$67</f>
        <v/>
      </c>
      <c r="AK20" s="3">
        <f>INDEX(Inputs!$D$84:$F$84,1,Inputs!$E$17)*(1+Inputs!$F$74)^(AK4-1)+AK14*Inputs!$F$67</f>
        <v/>
      </c>
      <c r="AL20" s="3">
        <f>INDEX(Inputs!$D$84:$F$84,1,Inputs!$E$17)*(1+Inputs!$F$74)^(AL4-1)+AL14*Inputs!$F$67</f>
        <v/>
      </c>
      <c r="AM20" s="3">
        <f>INDEX(Inputs!$D$84:$F$84,1,Inputs!$E$17)*(1+Inputs!$F$74)^(AM4-1)+AM14*Inputs!$F$67</f>
        <v/>
      </c>
      <c r="AN20" s="3">
        <f>INDEX(Inputs!$D$84:$F$84,1,Inputs!$E$17)*(1+Inputs!$F$74)^(AN4-1)+AN14*Inputs!$F$67</f>
        <v/>
      </c>
      <c r="AO20" s="3">
        <f>INDEX(Inputs!$D$84:$F$84,1,Inputs!$E$17)*(1+Inputs!$F$74)^(AO4-1)+AO14*Inputs!$F$67</f>
        <v/>
      </c>
      <c r="AP20" s="3">
        <f>INDEX(Inputs!$D$84:$F$84,1,Inputs!$E$17)*(1+Inputs!$F$74)^(AP4-1)+AP14*Inputs!$F$67</f>
        <v/>
      </c>
      <c r="AQ20" s="3">
        <f>INDEX(Inputs!$D$84:$F$84,1,Inputs!$E$17)*(1+Inputs!$F$74)^(AQ4-1)+AQ14*Inputs!$F$67</f>
        <v/>
      </c>
      <c r="AR20" s="3">
        <f>INDEX(Inputs!$D$84:$F$84,1,Inputs!$E$17)*(1+Inputs!$F$74)^(AR4-1)+AR14*Inputs!$F$67</f>
        <v/>
      </c>
      <c r="AS20" s="3">
        <f>INDEX(Inputs!$D$84:$F$84,1,Inputs!$E$17)*(1+Inputs!$F$74)^(AS4-1)+AS14*Inputs!$F$67</f>
        <v/>
      </c>
      <c r="AT20" s="3">
        <f>INDEX(Inputs!$D$84:$F$84,1,Inputs!$E$17)*(1+Inputs!$F$74)^(AT4-1)+AT14*Inputs!$F$67</f>
        <v/>
      </c>
      <c r="AU20" s="3">
        <f>INDEX(Inputs!$D$84:$F$84,1,Inputs!$E$17)*(1+Inputs!$F$74)^(AU4-1)+AU14*Inputs!$F$67</f>
        <v/>
      </c>
      <c r="AV20" s="3">
        <f>INDEX(Inputs!$D$84:$F$84,1,Inputs!$E$17)*(1+Inputs!$F$74)^(AV4-1)+AV14*Inputs!$F$67</f>
        <v/>
      </c>
      <c r="AW20" s="3">
        <f>INDEX(Inputs!$D$84:$F$84,1,Inputs!$E$17)*(1+Inputs!$F$74)^(AW4-1)+AW14*Inputs!$F$67</f>
        <v/>
      </c>
      <c r="AX20" s="3">
        <f>INDEX(Inputs!$D$84:$F$84,1,Inputs!$E$17)*(1+Inputs!$F$74)^(AX4-1)+AX14*Inputs!$F$67</f>
        <v/>
      </c>
      <c r="AY20" s="3">
        <f>INDEX(Inputs!$D$84:$F$84,1,Inputs!$E$17)*(1+Inputs!$F$74)^(AY4-1)+AY14*Inputs!$F$67</f>
        <v/>
      </c>
      <c r="AZ20" s="3">
        <f>INDEX(Inputs!$D$84:$F$84,1,Inputs!$E$17)*(1+Inputs!$F$74)^(AZ4-1)+AZ14*Inputs!$F$67</f>
        <v/>
      </c>
      <c r="BA20" s="3">
        <f>INDEX(Inputs!$D$84:$F$84,1,Inputs!$E$17)*(1+Inputs!$F$74)^(BA4-1)+BA14*Inputs!$F$67</f>
        <v/>
      </c>
      <c r="BB20" s="3">
        <f>INDEX(Inputs!$D$84:$F$84,1,Inputs!$E$17)*(1+Inputs!$F$74)^(BB4-1)+BB14*Inputs!$F$67</f>
        <v/>
      </c>
      <c r="BC20" s="3">
        <f>INDEX(Inputs!$D$84:$F$84,1,Inputs!$E$17)*(1+Inputs!$F$74)^(BC4-1)+BC14*Inputs!$F$67</f>
        <v/>
      </c>
      <c r="BD20" s="3">
        <f>INDEX(Inputs!$D$84:$F$84,1,Inputs!$E$17)*(1+Inputs!$F$74)^(BD4-1)+BD14*Inputs!$F$67</f>
        <v/>
      </c>
      <c r="BE20" s="3">
        <f>INDEX(Inputs!$D$84:$F$84,1,Inputs!$E$17)*(1+Inputs!$F$74)^(BE4-1)+BE14*Inputs!$F$67</f>
        <v/>
      </c>
      <c r="BF20" s="3">
        <f>INDEX(Inputs!$D$84:$F$84,1,Inputs!$E$17)*(1+Inputs!$F$74)^(BF4-1)+BF14*Inputs!$F$67</f>
        <v/>
      </c>
      <c r="BG20" s="3">
        <f>INDEX(Inputs!$D$84:$F$84,1,Inputs!$E$17)*(1+Inputs!$F$74)^(BG4-1)+BG14*Inputs!$F$67</f>
        <v/>
      </c>
      <c r="BH20" s="3">
        <f>INDEX(Inputs!$D$84:$F$84,1,Inputs!$E$17)*(1+Inputs!$F$74)^(BH4-1)+BH14*Inputs!$F$67</f>
        <v/>
      </c>
      <c r="BI20" s="3">
        <f>INDEX(Inputs!$D$84:$F$84,1,Inputs!$E$17)*(1+Inputs!$F$74)^(BI4-1)+BI14*Inputs!$F$67</f>
        <v/>
      </c>
      <c r="BJ20" s="3">
        <f>INDEX(Inputs!$D$84:$F$84,1,Inputs!$E$17)*(1+Inputs!$F$74)^(BJ4-1)+BJ14*Inputs!$F$67</f>
        <v/>
      </c>
    </row>
    <row r="21">
      <c r="A21" t="inlineStr">
        <is>
          <t>Peak-season flag</t>
        </is>
      </c>
      <c r="C21" s="7">
        <f>IF(C7&gt;=Inputs!$F$73,1,0)</f>
        <v/>
      </c>
      <c r="D21" s="7">
        <f>IF(D7&gt;=Inputs!$F$73,1,0)</f>
        <v/>
      </c>
      <c r="E21" s="7">
        <f>IF(E7&gt;=Inputs!$F$73,1,0)</f>
        <v/>
      </c>
      <c r="F21" s="7">
        <f>IF(F7&gt;=Inputs!$F$73,1,0)</f>
        <v/>
      </c>
      <c r="G21" s="7">
        <f>IF(G7&gt;=Inputs!$F$73,1,0)</f>
        <v/>
      </c>
      <c r="H21" s="7">
        <f>IF(H7&gt;=Inputs!$F$73,1,0)</f>
        <v/>
      </c>
      <c r="I21" s="7">
        <f>IF(I7&gt;=Inputs!$F$73,1,0)</f>
        <v/>
      </c>
      <c r="J21" s="7">
        <f>IF(J7&gt;=Inputs!$F$73,1,0)</f>
        <v/>
      </c>
      <c r="K21" s="7">
        <f>IF(K7&gt;=Inputs!$F$73,1,0)</f>
        <v/>
      </c>
      <c r="L21" s="7">
        <f>IF(L7&gt;=Inputs!$F$73,1,0)</f>
        <v/>
      </c>
      <c r="M21" s="7">
        <f>IF(M7&gt;=Inputs!$F$73,1,0)</f>
        <v/>
      </c>
      <c r="N21" s="7">
        <f>IF(N7&gt;=Inputs!$F$73,1,0)</f>
        <v/>
      </c>
      <c r="O21" s="7">
        <f>IF(O7&gt;=Inputs!$F$73,1,0)</f>
        <v/>
      </c>
      <c r="P21" s="7">
        <f>IF(P7&gt;=Inputs!$F$73,1,0)</f>
        <v/>
      </c>
      <c r="Q21" s="7">
        <f>IF(Q7&gt;=Inputs!$F$73,1,0)</f>
        <v/>
      </c>
      <c r="R21" s="7">
        <f>IF(R7&gt;=Inputs!$F$73,1,0)</f>
        <v/>
      </c>
      <c r="S21" s="7">
        <f>IF(S7&gt;=Inputs!$F$73,1,0)</f>
        <v/>
      </c>
      <c r="T21" s="7">
        <f>IF(T7&gt;=Inputs!$F$73,1,0)</f>
        <v/>
      </c>
      <c r="U21" s="7">
        <f>IF(U7&gt;=Inputs!$F$73,1,0)</f>
        <v/>
      </c>
      <c r="V21" s="7">
        <f>IF(V7&gt;=Inputs!$F$73,1,0)</f>
        <v/>
      </c>
      <c r="W21" s="7">
        <f>IF(W7&gt;=Inputs!$F$73,1,0)</f>
        <v/>
      </c>
      <c r="X21" s="7">
        <f>IF(X7&gt;=Inputs!$F$73,1,0)</f>
        <v/>
      </c>
      <c r="Y21" s="7">
        <f>IF(Y7&gt;=Inputs!$F$73,1,0)</f>
        <v/>
      </c>
      <c r="Z21" s="7">
        <f>IF(Z7&gt;=Inputs!$F$73,1,0)</f>
        <v/>
      </c>
      <c r="AA21" s="7">
        <f>IF(AA7&gt;=Inputs!$F$73,1,0)</f>
        <v/>
      </c>
      <c r="AB21" s="7">
        <f>IF(AB7&gt;=Inputs!$F$73,1,0)</f>
        <v/>
      </c>
      <c r="AC21" s="7">
        <f>IF(AC7&gt;=Inputs!$F$73,1,0)</f>
        <v/>
      </c>
      <c r="AD21" s="7">
        <f>IF(AD7&gt;=Inputs!$F$73,1,0)</f>
        <v/>
      </c>
      <c r="AE21" s="7">
        <f>IF(AE7&gt;=Inputs!$F$73,1,0)</f>
        <v/>
      </c>
      <c r="AF21" s="7">
        <f>IF(AF7&gt;=Inputs!$F$73,1,0)</f>
        <v/>
      </c>
      <c r="AG21" s="7">
        <f>IF(AG7&gt;=Inputs!$F$73,1,0)</f>
        <v/>
      </c>
      <c r="AH21" s="7">
        <f>IF(AH7&gt;=Inputs!$F$73,1,0)</f>
        <v/>
      </c>
      <c r="AI21" s="7">
        <f>IF(AI7&gt;=Inputs!$F$73,1,0)</f>
        <v/>
      </c>
      <c r="AJ21" s="7">
        <f>IF(AJ7&gt;=Inputs!$F$73,1,0)</f>
        <v/>
      </c>
      <c r="AK21" s="7">
        <f>IF(AK7&gt;=Inputs!$F$73,1,0)</f>
        <v/>
      </c>
      <c r="AL21" s="7">
        <f>IF(AL7&gt;=Inputs!$F$73,1,0)</f>
        <v/>
      </c>
      <c r="AM21" s="7">
        <f>IF(AM7&gt;=Inputs!$F$73,1,0)</f>
        <v/>
      </c>
      <c r="AN21" s="7">
        <f>IF(AN7&gt;=Inputs!$F$73,1,0)</f>
        <v/>
      </c>
      <c r="AO21" s="7">
        <f>IF(AO7&gt;=Inputs!$F$73,1,0)</f>
        <v/>
      </c>
      <c r="AP21" s="7">
        <f>IF(AP7&gt;=Inputs!$F$73,1,0)</f>
        <v/>
      </c>
      <c r="AQ21" s="7">
        <f>IF(AQ7&gt;=Inputs!$F$73,1,0)</f>
        <v/>
      </c>
      <c r="AR21" s="7">
        <f>IF(AR7&gt;=Inputs!$F$73,1,0)</f>
        <v/>
      </c>
      <c r="AS21" s="7">
        <f>IF(AS7&gt;=Inputs!$F$73,1,0)</f>
        <v/>
      </c>
      <c r="AT21" s="7">
        <f>IF(AT7&gt;=Inputs!$F$73,1,0)</f>
        <v/>
      </c>
      <c r="AU21" s="7">
        <f>IF(AU7&gt;=Inputs!$F$73,1,0)</f>
        <v/>
      </c>
      <c r="AV21" s="7">
        <f>IF(AV7&gt;=Inputs!$F$73,1,0)</f>
        <v/>
      </c>
      <c r="AW21" s="7">
        <f>IF(AW7&gt;=Inputs!$F$73,1,0)</f>
        <v/>
      </c>
      <c r="AX21" s="7">
        <f>IF(AX7&gt;=Inputs!$F$73,1,0)</f>
        <v/>
      </c>
      <c r="AY21" s="7">
        <f>IF(AY7&gt;=Inputs!$F$73,1,0)</f>
        <v/>
      </c>
      <c r="AZ21" s="7">
        <f>IF(AZ7&gt;=Inputs!$F$73,1,0)</f>
        <v/>
      </c>
      <c r="BA21" s="7">
        <f>IF(BA7&gt;=Inputs!$F$73,1,0)</f>
        <v/>
      </c>
      <c r="BB21" s="7">
        <f>IF(BB7&gt;=Inputs!$F$73,1,0)</f>
        <v/>
      </c>
      <c r="BC21" s="7">
        <f>IF(BC7&gt;=Inputs!$F$73,1,0)</f>
        <v/>
      </c>
      <c r="BD21" s="7">
        <f>IF(BD7&gt;=Inputs!$F$73,1,0)</f>
        <v/>
      </c>
      <c r="BE21" s="7">
        <f>IF(BE7&gt;=Inputs!$F$73,1,0)</f>
        <v/>
      </c>
      <c r="BF21" s="7">
        <f>IF(BF7&gt;=Inputs!$F$73,1,0)</f>
        <v/>
      </c>
      <c r="BG21" s="7">
        <f>IF(BG7&gt;=Inputs!$F$73,1,0)</f>
        <v/>
      </c>
      <c r="BH21" s="7">
        <f>IF(BH7&gt;=Inputs!$F$73,1,0)</f>
        <v/>
      </c>
      <c r="BI21" s="7">
        <f>IF(BI7&gt;=Inputs!$F$73,1,0)</f>
        <v/>
      </c>
      <c r="BJ21" s="7">
        <f>IF(BJ7&gt;=Inputs!$F$73,1,0)</f>
        <v/>
      </c>
    </row>
    <row r="22">
      <c r="A22" t="inlineStr">
        <is>
          <t>FTE</t>
        </is>
      </c>
      <c r="C22" s="24">
        <f>INDEX(Inputs!$D$80:$F$80,1,Inputs!$E$17)+C21*INDEX(Inputs!$D$81:$F$81,1,Inputs!$E$17)</f>
        <v/>
      </c>
      <c r="D22" s="24">
        <f>INDEX(Inputs!$D$80:$F$80,1,Inputs!$E$17)+D21*INDEX(Inputs!$D$81:$F$81,1,Inputs!$E$17)</f>
        <v/>
      </c>
      <c r="E22" s="24">
        <f>INDEX(Inputs!$D$80:$F$80,1,Inputs!$E$17)+E21*INDEX(Inputs!$D$81:$F$81,1,Inputs!$E$17)</f>
        <v/>
      </c>
      <c r="F22" s="24">
        <f>INDEX(Inputs!$D$80:$F$80,1,Inputs!$E$17)+F21*INDEX(Inputs!$D$81:$F$81,1,Inputs!$E$17)</f>
        <v/>
      </c>
      <c r="G22" s="24">
        <f>INDEX(Inputs!$D$80:$F$80,1,Inputs!$E$17)+G21*INDEX(Inputs!$D$81:$F$81,1,Inputs!$E$17)</f>
        <v/>
      </c>
      <c r="H22" s="24">
        <f>INDEX(Inputs!$D$80:$F$80,1,Inputs!$E$17)+H21*INDEX(Inputs!$D$81:$F$81,1,Inputs!$E$17)</f>
        <v/>
      </c>
      <c r="I22" s="24">
        <f>INDEX(Inputs!$D$80:$F$80,1,Inputs!$E$17)+I21*INDEX(Inputs!$D$81:$F$81,1,Inputs!$E$17)</f>
        <v/>
      </c>
      <c r="J22" s="24">
        <f>INDEX(Inputs!$D$80:$F$80,1,Inputs!$E$17)+J21*INDEX(Inputs!$D$81:$F$81,1,Inputs!$E$17)</f>
        <v/>
      </c>
      <c r="K22" s="24">
        <f>INDEX(Inputs!$D$80:$F$80,1,Inputs!$E$17)+K21*INDEX(Inputs!$D$81:$F$81,1,Inputs!$E$17)</f>
        <v/>
      </c>
      <c r="L22" s="24">
        <f>INDEX(Inputs!$D$80:$F$80,1,Inputs!$E$17)+L21*INDEX(Inputs!$D$81:$F$81,1,Inputs!$E$17)</f>
        <v/>
      </c>
      <c r="M22" s="24">
        <f>INDEX(Inputs!$D$80:$F$80,1,Inputs!$E$17)+M21*INDEX(Inputs!$D$81:$F$81,1,Inputs!$E$17)</f>
        <v/>
      </c>
      <c r="N22" s="24">
        <f>INDEX(Inputs!$D$80:$F$80,1,Inputs!$E$17)+N21*INDEX(Inputs!$D$81:$F$81,1,Inputs!$E$17)</f>
        <v/>
      </c>
      <c r="O22" s="24">
        <f>INDEX(Inputs!$D$80:$F$80,1,Inputs!$E$17)+O21*INDEX(Inputs!$D$81:$F$81,1,Inputs!$E$17)</f>
        <v/>
      </c>
      <c r="P22" s="24">
        <f>INDEX(Inputs!$D$80:$F$80,1,Inputs!$E$17)+P21*INDEX(Inputs!$D$81:$F$81,1,Inputs!$E$17)</f>
        <v/>
      </c>
      <c r="Q22" s="24">
        <f>INDEX(Inputs!$D$80:$F$80,1,Inputs!$E$17)+Q21*INDEX(Inputs!$D$81:$F$81,1,Inputs!$E$17)</f>
        <v/>
      </c>
      <c r="R22" s="24">
        <f>INDEX(Inputs!$D$80:$F$80,1,Inputs!$E$17)+R21*INDEX(Inputs!$D$81:$F$81,1,Inputs!$E$17)</f>
        <v/>
      </c>
      <c r="S22" s="24">
        <f>INDEX(Inputs!$D$80:$F$80,1,Inputs!$E$17)+S21*INDEX(Inputs!$D$81:$F$81,1,Inputs!$E$17)</f>
        <v/>
      </c>
      <c r="T22" s="24">
        <f>INDEX(Inputs!$D$80:$F$80,1,Inputs!$E$17)+T21*INDEX(Inputs!$D$81:$F$81,1,Inputs!$E$17)</f>
        <v/>
      </c>
      <c r="U22" s="24">
        <f>INDEX(Inputs!$D$80:$F$80,1,Inputs!$E$17)+U21*INDEX(Inputs!$D$81:$F$81,1,Inputs!$E$17)</f>
        <v/>
      </c>
      <c r="V22" s="24">
        <f>INDEX(Inputs!$D$80:$F$80,1,Inputs!$E$17)+V21*INDEX(Inputs!$D$81:$F$81,1,Inputs!$E$17)</f>
        <v/>
      </c>
      <c r="W22" s="24">
        <f>INDEX(Inputs!$D$80:$F$80,1,Inputs!$E$17)+W21*INDEX(Inputs!$D$81:$F$81,1,Inputs!$E$17)</f>
        <v/>
      </c>
      <c r="X22" s="24">
        <f>INDEX(Inputs!$D$80:$F$80,1,Inputs!$E$17)+X21*INDEX(Inputs!$D$81:$F$81,1,Inputs!$E$17)</f>
        <v/>
      </c>
      <c r="Y22" s="24">
        <f>INDEX(Inputs!$D$80:$F$80,1,Inputs!$E$17)+Y21*INDEX(Inputs!$D$81:$F$81,1,Inputs!$E$17)</f>
        <v/>
      </c>
      <c r="Z22" s="24">
        <f>INDEX(Inputs!$D$80:$F$80,1,Inputs!$E$17)+Z21*INDEX(Inputs!$D$81:$F$81,1,Inputs!$E$17)</f>
        <v/>
      </c>
      <c r="AA22" s="24">
        <f>INDEX(Inputs!$D$80:$F$80,1,Inputs!$E$17)+AA21*INDEX(Inputs!$D$81:$F$81,1,Inputs!$E$17)</f>
        <v/>
      </c>
      <c r="AB22" s="24">
        <f>INDEX(Inputs!$D$80:$F$80,1,Inputs!$E$17)+AB21*INDEX(Inputs!$D$81:$F$81,1,Inputs!$E$17)</f>
        <v/>
      </c>
      <c r="AC22" s="24">
        <f>INDEX(Inputs!$D$80:$F$80,1,Inputs!$E$17)+AC21*INDEX(Inputs!$D$81:$F$81,1,Inputs!$E$17)</f>
        <v/>
      </c>
      <c r="AD22" s="24">
        <f>INDEX(Inputs!$D$80:$F$80,1,Inputs!$E$17)+AD21*INDEX(Inputs!$D$81:$F$81,1,Inputs!$E$17)</f>
        <v/>
      </c>
      <c r="AE22" s="24">
        <f>INDEX(Inputs!$D$80:$F$80,1,Inputs!$E$17)+AE21*INDEX(Inputs!$D$81:$F$81,1,Inputs!$E$17)</f>
        <v/>
      </c>
      <c r="AF22" s="24">
        <f>INDEX(Inputs!$D$80:$F$80,1,Inputs!$E$17)+AF21*INDEX(Inputs!$D$81:$F$81,1,Inputs!$E$17)</f>
        <v/>
      </c>
      <c r="AG22" s="24">
        <f>INDEX(Inputs!$D$80:$F$80,1,Inputs!$E$17)+AG21*INDEX(Inputs!$D$81:$F$81,1,Inputs!$E$17)</f>
        <v/>
      </c>
      <c r="AH22" s="24">
        <f>INDEX(Inputs!$D$80:$F$80,1,Inputs!$E$17)+AH21*INDEX(Inputs!$D$81:$F$81,1,Inputs!$E$17)</f>
        <v/>
      </c>
      <c r="AI22" s="24">
        <f>INDEX(Inputs!$D$80:$F$80,1,Inputs!$E$17)+AI21*INDEX(Inputs!$D$81:$F$81,1,Inputs!$E$17)</f>
        <v/>
      </c>
      <c r="AJ22" s="24">
        <f>INDEX(Inputs!$D$80:$F$80,1,Inputs!$E$17)+AJ21*INDEX(Inputs!$D$81:$F$81,1,Inputs!$E$17)</f>
        <v/>
      </c>
      <c r="AK22" s="24">
        <f>INDEX(Inputs!$D$80:$F$80,1,Inputs!$E$17)+AK21*INDEX(Inputs!$D$81:$F$81,1,Inputs!$E$17)</f>
        <v/>
      </c>
      <c r="AL22" s="24">
        <f>INDEX(Inputs!$D$80:$F$80,1,Inputs!$E$17)+AL21*INDEX(Inputs!$D$81:$F$81,1,Inputs!$E$17)</f>
        <v/>
      </c>
      <c r="AM22" s="24">
        <f>INDEX(Inputs!$D$80:$F$80,1,Inputs!$E$17)+AM21*INDEX(Inputs!$D$81:$F$81,1,Inputs!$E$17)</f>
        <v/>
      </c>
      <c r="AN22" s="24">
        <f>INDEX(Inputs!$D$80:$F$80,1,Inputs!$E$17)+AN21*INDEX(Inputs!$D$81:$F$81,1,Inputs!$E$17)</f>
        <v/>
      </c>
      <c r="AO22" s="24">
        <f>INDEX(Inputs!$D$80:$F$80,1,Inputs!$E$17)+AO21*INDEX(Inputs!$D$81:$F$81,1,Inputs!$E$17)</f>
        <v/>
      </c>
      <c r="AP22" s="24">
        <f>INDEX(Inputs!$D$80:$F$80,1,Inputs!$E$17)+AP21*INDEX(Inputs!$D$81:$F$81,1,Inputs!$E$17)</f>
        <v/>
      </c>
      <c r="AQ22" s="24">
        <f>INDEX(Inputs!$D$80:$F$80,1,Inputs!$E$17)+AQ21*INDEX(Inputs!$D$81:$F$81,1,Inputs!$E$17)</f>
        <v/>
      </c>
      <c r="AR22" s="24">
        <f>INDEX(Inputs!$D$80:$F$80,1,Inputs!$E$17)+AR21*INDEX(Inputs!$D$81:$F$81,1,Inputs!$E$17)</f>
        <v/>
      </c>
      <c r="AS22" s="24">
        <f>INDEX(Inputs!$D$80:$F$80,1,Inputs!$E$17)+AS21*INDEX(Inputs!$D$81:$F$81,1,Inputs!$E$17)</f>
        <v/>
      </c>
      <c r="AT22" s="24">
        <f>INDEX(Inputs!$D$80:$F$80,1,Inputs!$E$17)+AT21*INDEX(Inputs!$D$81:$F$81,1,Inputs!$E$17)</f>
        <v/>
      </c>
      <c r="AU22" s="24">
        <f>INDEX(Inputs!$D$80:$F$80,1,Inputs!$E$17)+AU21*INDEX(Inputs!$D$81:$F$81,1,Inputs!$E$17)</f>
        <v/>
      </c>
      <c r="AV22" s="24">
        <f>INDEX(Inputs!$D$80:$F$80,1,Inputs!$E$17)+AV21*INDEX(Inputs!$D$81:$F$81,1,Inputs!$E$17)</f>
        <v/>
      </c>
      <c r="AW22" s="24">
        <f>INDEX(Inputs!$D$80:$F$80,1,Inputs!$E$17)+AW21*INDEX(Inputs!$D$81:$F$81,1,Inputs!$E$17)</f>
        <v/>
      </c>
      <c r="AX22" s="24">
        <f>INDEX(Inputs!$D$80:$F$80,1,Inputs!$E$17)+AX21*INDEX(Inputs!$D$81:$F$81,1,Inputs!$E$17)</f>
        <v/>
      </c>
      <c r="AY22" s="24">
        <f>INDEX(Inputs!$D$80:$F$80,1,Inputs!$E$17)+AY21*INDEX(Inputs!$D$81:$F$81,1,Inputs!$E$17)</f>
        <v/>
      </c>
      <c r="AZ22" s="24">
        <f>INDEX(Inputs!$D$80:$F$80,1,Inputs!$E$17)+AZ21*INDEX(Inputs!$D$81:$F$81,1,Inputs!$E$17)</f>
        <v/>
      </c>
      <c r="BA22" s="24">
        <f>INDEX(Inputs!$D$80:$F$80,1,Inputs!$E$17)+BA21*INDEX(Inputs!$D$81:$F$81,1,Inputs!$E$17)</f>
        <v/>
      </c>
      <c r="BB22" s="24">
        <f>INDEX(Inputs!$D$80:$F$80,1,Inputs!$E$17)+BB21*INDEX(Inputs!$D$81:$F$81,1,Inputs!$E$17)</f>
        <v/>
      </c>
      <c r="BC22" s="24">
        <f>INDEX(Inputs!$D$80:$F$80,1,Inputs!$E$17)+BC21*INDEX(Inputs!$D$81:$F$81,1,Inputs!$E$17)</f>
        <v/>
      </c>
      <c r="BD22" s="24">
        <f>INDEX(Inputs!$D$80:$F$80,1,Inputs!$E$17)+BD21*INDEX(Inputs!$D$81:$F$81,1,Inputs!$E$17)</f>
        <v/>
      </c>
      <c r="BE22" s="24">
        <f>INDEX(Inputs!$D$80:$F$80,1,Inputs!$E$17)+BE21*INDEX(Inputs!$D$81:$F$81,1,Inputs!$E$17)</f>
        <v/>
      </c>
      <c r="BF22" s="24">
        <f>INDEX(Inputs!$D$80:$F$80,1,Inputs!$E$17)+BF21*INDEX(Inputs!$D$81:$F$81,1,Inputs!$E$17)</f>
        <v/>
      </c>
      <c r="BG22" s="24">
        <f>INDEX(Inputs!$D$80:$F$80,1,Inputs!$E$17)+BG21*INDEX(Inputs!$D$81:$F$81,1,Inputs!$E$17)</f>
        <v/>
      </c>
      <c r="BH22" s="24">
        <f>INDEX(Inputs!$D$80:$F$80,1,Inputs!$E$17)+BH21*INDEX(Inputs!$D$81:$F$81,1,Inputs!$E$17)</f>
        <v/>
      </c>
      <c r="BI22" s="24">
        <f>INDEX(Inputs!$D$80:$F$80,1,Inputs!$E$17)+BI21*INDEX(Inputs!$D$81:$F$81,1,Inputs!$E$17)</f>
        <v/>
      </c>
      <c r="BJ22" s="24">
        <f>INDEX(Inputs!$D$80:$F$80,1,Inputs!$E$17)+BJ21*INDEX(Inputs!$D$81:$F$81,1,Inputs!$E$17)</f>
        <v/>
      </c>
    </row>
    <row r="23">
      <c r="A23" t="inlineStr">
        <is>
          <t>Labour</t>
        </is>
      </c>
      <c r="C23" s="3">
        <f>(C22*INDEX(Inputs!$D$82:$F$82,1,Inputs!$E$17)+INDEX(Inputs!$D$83:$F$83,1,Inputs!$E$17))*(1+Inputs!$F$75)^(C4-1)*(1+Inputs!$F$71)+C22*Inputs!$F$72</f>
        <v/>
      </c>
      <c r="D23" s="3">
        <f>(D22*INDEX(Inputs!$D$82:$F$82,1,Inputs!$E$17)+INDEX(Inputs!$D$83:$F$83,1,Inputs!$E$17))*(1+Inputs!$F$75)^(D4-1)*(1+Inputs!$F$71)+D22*Inputs!$F$72</f>
        <v/>
      </c>
      <c r="E23" s="3">
        <f>(E22*INDEX(Inputs!$D$82:$F$82,1,Inputs!$E$17)+INDEX(Inputs!$D$83:$F$83,1,Inputs!$E$17))*(1+Inputs!$F$75)^(E4-1)*(1+Inputs!$F$71)+E22*Inputs!$F$72</f>
        <v/>
      </c>
      <c r="F23" s="3">
        <f>(F22*INDEX(Inputs!$D$82:$F$82,1,Inputs!$E$17)+INDEX(Inputs!$D$83:$F$83,1,Inputs!$E$17))*(1+Inputs!$F$75)^(F4-1)*(1+Inputs!$F$71)+F22*Inputs!$F$72</f>
        <v/>
      </c>
      <c r="G23" s="3">
        <f>(G22*INDEX(Inputs!$D$82:$F$82,1,Inputs!$E$17)+INDEX(Inputs!$D$83:$F$83,1,Inputs!$E$17))*(1+Inputs!$F$75)^(G4-1)*(1+Inputs!$F$71)+G22*Inputs!$F$72</f>
        <v/>
      </c>
      <c r="H23" s="3">
        <f>(H22*INDEX(Inputs!$D$82:$F$82,1,Inputs!$E$17)+INDEX(Inputs!$D$83:$F$83,1,Inputs!$E$17))*(1+Inputs!$F$75)^(H4-1)*(1+Inputs!$F$71)+H22*Inputs!$F$72</f>
        <v/>
      </c>
      <c r="I23" s="3">
        <f>(I22*INDEX(Inputs!$D$82:$F$82,1,Inputs!$E$17)+INDEX(Inputs!$D$83:$F$83,1,Inputs!$E$17))*(1+Inputs!$F$75)^(I4-1)*(1+Inputs!$F$71)+I22*Inputs!$F$72</f>
        <v/>
      </c>
      <c r="J23" s="3">
        <f>(J22*INDEX(Inputs!$D$82:$F$82,1,Inputs!$E$17)+INDEX(Inputs!$D$83:$F$83,1,Inputs!$E$17))*(1+Inputs!$F$75)^(J4-1)*(1+Inputs!$F$71)+J22*Inputs!$F$72</f>
        <v/>
      </c>
      <c r="K23" s="3">
        <f>(K22*INDEX(Inputs!$D$82:$F$82,1,Inputs!$E$17)+INDEX(Inputs!$D$83:$F$83,1,Inputs!$E$17))*(1+Inputs!$F$75)^(K4-1)*(1+Inputs!$F$71)+K22*Inputs!$F$72</f>
        <v/>
      </c>
      <c r="L23" s="3">
        <f>(L22*INDEX(Inputs!$D$82:$F$82,1,Inputs!$E$17)+INDEX(Inputs!$D$83:$F$83,1,Inputs!$E$17))*(1+Inputs!$F$75)^(L4-1)*(1+Inputs!$F$71)+L22*Inputs!$F$72</f>
        <v/>
      </c>
      <c r="M23" s="3">
        <f>(M22*INDEX(Inputs!$D$82:$F$82,1,Inputs!$E$17)+INDEX(Inputs!$D$83:$F$83,1,Inputs!$E$17))*(1+Inputs!$F$75)^(M4-1)*(1+Inputs!$F$71)+M22*Inputs!$F$72</f>
        <v/>
      </c>
      <c r="N23" s="3">
        <f>(N22*INDEX(Inputs!$D$82:$F$82,1,Inputs!$E$17)+INDEX(Inputs!$D$83:$F$83,1,Inputs!$E$17))*(1+Inputs!$F$75)^(N4-1)*(1+Inputs!$F$71)+N22*Inputs!$F$72</f>
        <v/>
      </c>
      <c r="O23" s="3">
        <f>(O22*INDEX(Inputs!$D$82:$F$82,1,Inputs!$E$17)+INDEX(Inputs!$D$83:$F$83,1,Inputs!$E$17))*(1+Inputs!$F$75)^(O4-1)*(1+Inputs!$F$71)+O22*Inputs!$F$72</f>
        <v/>
      </c>
      <c r="P23" s="3">
        <f>(P22*INDEX(Inputs!$D$82:$F$82,1,Inputs!$E$17)+INDEX(Inputs!$D$83:$F$83,1,Inputs!$E$17))*(1+Inputs!$F$75)^(P4-1)*(1+Inputs!$F$71)+P22*Inputs!$F$72</f>
        <v/>
      </c>
      <c r="Q23" s="3">
        <f>(Q22*INDEX(Inputs!$D$82:$F$82,1,Inputs!$E$17)+INDEX(Inputs!$D$83:$F$83,1,Inputs!$E$17))*(1+Inputs!$F$75)^(Q4-1)*(1+Inputs!$F$71)+Q22*Inputs!$F$72</f>
        <v/>
      </c>
      <c r="R23" s="3">
        <f>(R22*INDEX(Inputs!$D$82:$F$82,1,Inputs!$E$17)+INDEX(Inputs!$D$83:$F$83,1,Inputs!$E$17))*(1+Inputs!$F$75)^(R4-1)*(1+Inputs!$F$71)+R22*Inputs!$F$72</f>
        <v/>
      </c>
      <c r="S23" s="3">
        <f>(S22*INDEX(Inputs!$D$82:$F$82,1,Inputs!$E$17)+INDEX(Inputs!$D$83:$F$83,1,Inputs!$E$17))*(1+Inputs!$F$75)^(S4-1)*(1+Inputs!$F$71)+S22*Inputs!$F$72</f>
        <v/>
      </c>
      <c r="T23" s="3">
        <f>(T22*INDEX(Inputs!$D$82:$F$82,1,Inputs!$E$17)+INDEX(Inputs!$D$83:$F$83,1,Inputs!$E$17))*(1+Inputs!$F$75)^(T4-1)*(1+Inputs!$F$71)+T22*Inputs!$F$72</f>
        <v/>
      </c>
      <c r="U23" s="3">
        <f>(U22*INDEX(Inputs!$D$82:$F$82,1,Inputs!$E$17)+INDEX(Inputs!$D$83:$F$83,1,Inputs!$E$17))*(1+Inputs!$F$75)^(U4-1)*(1+Inputs!$F$71)+U22*Inputs!$F$72</f>
        <v/>
      </c>
      <c r="V23" s="3">
        <f>(V22*INDEX(Inputs!$D$82:$F$82,1,Inputs!$E$17)+INDEX(Inputs!$D$83:$F$83,1,Inputs!$E$17))*(1+Inputs!$F$75)^(V4-1)*(1+Inputs!$F$71)+V22*Inputs!$F$72</f>
        <v/>
      </c>
      <c r="W23" s="3">
        <f>(W22*INDEX(Inputs!$D$82:$F$82,1,Inputs!$E$17)+INDEX(Inputs!$D$83:$F$83,1,Inputs!$E$17))*(1+Inputs!$F$75)^(W4-1)*(1+Inputs!$F$71)+W22*Inputs!$F$72</f>
        <v/>
      </c>
      <c r="X23" s="3">
        <f>(X22*INDEX(Inputs!$D$82:$F$82,1,Inputs!$E$17)+INDEX(Inputs!$D$83:$F$83,1,Inputs!$E$17))*(1+Inputs!$F$75)^(X4-1)*(1+Inputs!$F$71)+X22*Inputs!$F$72</f>
        <v/>
      </c>
      <c r="Y23" s="3">
        <f>(Y22*INDEX(Inputs!$D$82:$F$82,1,Inputs!$E$17)+INDEX(Inputs!$D$83:$F$83,1,Inputs!$E$17))*(1+Inputs!$F$75)^(Y4-1)*(1+Inputs!$F$71)+Y22*Inputs!$F$72</f>
        <v/>
      </c>
      <c r="Z23" s="3">
        <f>(Z22*INDEX(Inputs!$D$82:$F$82,1,Inputs!$E$17)+INDEX(Inputs!$D$83:$F$83,1,Inputs!$E$17))*(1+Inputs!$F$75)^(Z4-1)*(1+Inputs!$F$71)+Z22*Inputs!$F$72</f>
        <v/>
      </c>
      <c r="AA23" s="3">
        <f>(AA22*INDEX(Inputs!$D$82:$F$82,1,Inputs!$E$17)+INDEX(Inputs!$D$83:$F$83,1,Inputs!$E$17))*(1+Inputs!$F$75)^(AA4-1)*(1+Inputs!$F$71)+AA22*Inputs!$F$72</f>
        <v/>
      </c>
      <c r="AB23" s="3">
        <f>(AB22*INDEX(Inputs!$D$82:$F$82,1,Inputs!$E$17)+INDEX(Inputs!$D$83:$F$83,1,Inputs!$E$17))*(1+Inputs!$F$75)^(AB4-1)*(1+Inputs!$F$71)+AB22*Inputs!$F$72</f>
        <v/>
      </c>
      <c r="AC23" s="3">
        <f>(AC22*INDEX(Inputs!$D$82:$F$82,1,Inputs!$E$17)+INDEX(Inputs!$D$83:$F$83,1,Inputs!$E$17))*(1+Inputs!$F$75)^(AC4-1)*(1+Inputs!$F$71)+AC22*Inputs!$F$72</f>
        <v/>
      </c>
      <c r="AD23" s="3">
        <f>(AD22*INDEX(Inputs!$D$82:$F$82,1,Inputs!$E$17)+INDEX(Inputs!$D$83:$F$83,1,Inputs!$E$17))*(1+Inputs!$F$75)^(AD4-1)*(1+Inputs!$F$71)+AD22*Inputs!$F$72</f>
        <v/>
      </c>
      <c r="AE23" s="3">
        <f>(AE22*INDEX(Inputs!$D$82:$F$82,1,Inputs!$E$17)+INDEX(Inputs!$D$83:$F$83,1,Inputs!$E$17))*(1+Inputs!$F$75)^(AE4-1)*(1+Inputs!$F$71)+AE22*Inputs!$F$72</f>
        <v/>
      </c>
      <c r="AF23" s="3">
        <f>(AF22*INDEX(Inputs!$D$82:$F$82,1,Inputs!$E$17)+INDEX(Inputs!$D$83:$F$83,1,Inputs!$E$17))*(1+Inputs!$F$75)^(AF4-1)*(1+Inputs!$F$71)+AF22*Inputs!$F$72</f>
        <v/>
      </c>
      <c r="AG23" s="3">
        <f>(AG22*INDEX(Inputs!$D$82:$F$82,1,Inputs!$E$17)+INDEX(Inputs!$D$83:$F$83,1,Inputs!$E$17))*(1+Inputs!$F$75)^(AG4-1)*(1+Inputs!$F$71)+AG22*Inputs!$F$72</f>
        <v/>
      </c>
      <c r="AH23" s="3">
        <f>(AH22*INDEX(Inputs!$D$82:$F$82,1,Inputs!$E$17)+INDEX(Inputs!$D$83:$F$83,1,Inputs!$E$17))*(1+Inputs!$F$75)^(AH4-1)*(1+Inputs!$F$71)+AH22*Inputs!$F$72</f>
        <v/>
      </c>
      <c r="AI23" s="3">
        <f>(AI22*INDEX(Inputs!$D$82:$F$82,1,Inputs!$E$17)+INDEX(Inputs!$D$83:$F$83,1,Inputs!$E$17))*(1+Inputs!$F$75)^(AI4-1)*(1+Inputs!$F$71)+AI22*Inputs!$F$72</f>
        <v/>
      </c>
      <c r="AJ23" s="3">
        <f>(AJ22*INDEX(Inputs!$D$82:$F$82,1,Inputs!$E$17)+INDEX(Inputs!$D$83:$F$83,1,Inputs!$E$17))*(1+Inputs!$F$75)^(AJ4-1)*(1+Inputs!$F$71)+AJ22*Inputs!$F$72</f>
        <v/>
      </c>
      <c r="AK23" s="3">
        <f>(AK22*INDEX(Inputs!$D$82:$F$82,1,Inputs!$E$17)+INDEX(Inputs!$D$83:$F$83,1,Inputs!$E$17))*(1+Inputs!$F$75)^(AK4-1)*(1+Inputs!$F$71)+AK22*Inputs!$F$72</f>
        <v/>
      </c>
      <c r="AL23" s="3">
        <f>(AL22*INDEX(Inputs!$D$82:$F$82,1,Inputs!$E$17)+INDEX(Inputs!$D$83:$F$83,1,Inputs!$E$17))*(1+Inputs!$F$75)^(AL4-1)*(1+Inputs!$F$71)+AL22*Inputs!$F$72</f>
        <v/>
      </c>
      <c r="AM23" s="3">
        <f>(AM22*INDEX(Inputs!$D$82:$F$82,1,Inputs!$E$17)+INDEX(Inputs!$D$83:$F$83,1,Inputs!$E$17))*(1+Inputs!$F$75)^(AM4-1)*(1+Inputs!$F$71)+AM22*Inputs!$F$72</f>
        <v/>
      </c>
      <c r="AN23" s="3">
        <f>(AN22*INDEX(Inputs!$D$82:$F$82,1,Inputs!$E$17)+INDEX(Inputs!$D$83:$F$83,1,Inputs!$E$17))*(1+Inputs!$F$75)^(AN4-1)*(1+Inputs!$F$71)+AN22*Inputs!$F$72</f>
        <v/>
      </c>
      <c r="AO23" s="3">
        <f>(AO22*INDEX(Inputs!$D$82:$F$82,1,Inputs!$E$17)+INDEX(Inputs!$D$83:$F$83,1,Inputs!$E$17))*(1+Inputs!$F$75)^(AO4-1)*(1+Inputs!$F$71)+AO22*Inputs!$F$72</f>
        <v/>
      </c>
      <c r="AP23" s="3">
        <f>(AP22*INDEX(Inputs!$D$82:$F$82,1,Inputs!$E$17)+INDEX(Inputs!$D$83:$F$83,1,Inputs!$E$17))*(1+Inputs!$F$75)^(AP4-1)*(1+Inputs!$F$71)+AP22*Inputs!$F$72</f>
        <v/>
      </c>
      <c r="AQ23" s="3">
        <f>(AQ22*INDEX(Inputs!$D$82:$F$82,1,Inputs!$E$17)+INDEX(Inputs!$D$83:$F$83,1,Inputs!$E$17))*(1+Inputs!$F$75)^(AQ4-1)*(1+Inputs!$F$71)+AQ22*Inputs!$F$72</f>
        <v/>
      </c>
      <c r="AR23" s="3">
        <f>(AR22*INDEX(Inputs!$D$82:$F$82,1,Inputs!$E$17)+INDEX(Inputs!$D$83:$F$83,1,Inputs!$E$17))*(1+Inputs!$F$75)^(AR4-1)*(1+Inputs!$F$71)+AR22*Inputs!$F$72</f>
        <v/>
      </c>
      <c r="AS23" s="3">
        <f>(AS22*INDEX(Inputs!$D$82:$F$82,1,Inputs!$E$17)+INDEX(Inputs!$D$83:$F$83,1,Inputs!$E$17))*(1+Inputs!$F$75)^(AS4-1)*(1+Inputs!$F$71)+AS22*Inputs!$F$72</f>
        <v/>
      </c>
      <c r="AT23" s="3">
        <f>(AT22*INDEX(Inputs!$D$82:$F$82,1,Inputs!$E$17)+INDEX(Inputs!$D$83:$F$83,1,Inputs!$E$17))*(1+Inputs!$F$75)^(AT4-1)*(1+Inputs!$F$71)+AT22*Inputs!$F$72</f>
        <v/>
      </c>
      <c r="AU23" s="3">
        <f>(AU22*INDEX(Inputs!$D$82:$F$82,1,Inputs!$E$17)+INDEX(Inputs!$D$83:$F$83,1,Inputs!$E$17))*(1+Inputs!$F$75)^(AU4-1)*(1+Inputs!$F$71)+AU22*Inputs!$F$72</f>
        <v/>
      </c>
      <c r="AV23" s="3">
        <f>(AV22*INDEX(Inputs!$D$82:$F$82,1,Inputs!$E$17)+INDEX(Inputs!$D$83:$F$83,1,Inputs!$E$17))*(1+Inputs!$F$75)^(AV4-1)*(1+Inputs!$F$71)+AV22*Inputs!$F$72</f>
        <v/>
      </c>
      <c r="AW23" s="3">
        <f>(AW22*INDEX(Inputs!$D$82:$F$82,1,Inputs!$E$17)+INDEX(Inputs!$D$83:$F$83,1,Inputs!$E$17))*(1+Inputs!$F$75)^(AW4-1)*(1+Inputs!$F$71)+AW22*Inputs!$F$72</f>
        <v/>
      </c>
      <c r="AX23" s="3">
        <f>(AX22*INDEX(Inputs!$D$82:$F$82,1,Inputs!$E$17)+INDEX(Inputs!$D$83:$F$83,1,Inputs!$E$17))*(1+Inputs!$F$75)^(AX4-1)*(1+Inputs!$F$71)+AX22*Inputs!$F$72</f>
        <v/>
      </c>
      <c r="AY23" s="3">
        <f>(AY22*INDEX(Inputs!$D$82:$F$82,1,Inputs!$E$17)+INDEX(Inputs!$D$83:$F$83,1,Inputs!$E$17))*(1+Inputs!$F$75)^(AY4-1)*(1+Inputs!$F$71)+AY22*Inputs!$F$72</f>
        <v/>
      </c>
      <c r="AZ23" s="3">
        <f>(AZ22*INDEX(Inputs!$D$82:$F$82,1,Inputs!$E$17)+INDEX(Inputs!$D$83:$F$83,1,Inputs!$E$17))*(1+Inputs!$F$75)^(AZ4-1)*(1+Inputs!$F$71)+AZ22*Inputs!$F$72</f>
        <v/>
      </c>
      <c r="BA23" s="3">
        <f>(BA22*INDEX(Inputs!$D$82:$F$82,1,Inputs!$E$17)+INDEX(Inputs!$D$83:$F$83,1,Inputs!$E$17))*(1+Inputs!$F$75)^(BA4-1)*(1+Inputs!$F$71)+BA22*Inputs!$F$72</f>
        <v/>
      </c>
      <c r="BB23" s="3">
        <f>(BB22*INDEX(Inputs!$D$82:$F$82,1,Inputs!$E$17)+INDEX(Inputs!$D$83:$F$83,1,Inputs!$E$17))*(1+Inputs!$F$75)^(BB4-1)*(1+Inputs!$F$71)+BB22*Inputs!$F$72</f>
        <v/>
      </c>
      <c r="BC23" s="3">
        <f>(BC22*INDEX(Inputs!$D$82:$F$82,1,Inputs!$E$17)+INDEX(Inputs!$D$83:$F$83,1,Inputs!$E$17))*(1+Inputs!$F$75)^(BC4-1)*(1+Inputs!$F$71)+BC22*Inputs!$F$72</f>
        <v/>
      </c>
      <c r="BD23" s="3">
        <f>(BD22*INDEX(Inputs!$D$82:$F$82,1,Inputs!$E$17)+INDEX(Inputs!$D$83:$F$83,1,Inputs!$E$17))*(1+Inputs!$F$75)^(BD4-1)*(1+Inputs!$F$71)+BD22*Inputs!$F$72</f>
        <v/>
      </c>
      <c r="BE23" s="3">
        <f>(BE22*INDEX(Inputs!$D$82:$F$82,1,Inputs!$E$17)+INDEX(Inputs!$D$83:$F$83,1,Inputs!$E$17))*(1+Inputs!$F$75)^(BE4-1)*(1+Inputs!$F$71)+BE22*Inputs!$F$72</f>
        <v/>
      </c>
      <c r="BF23" s="3">
        <f>(BF22*INDEX(Inputs!$D$82:$F$82,1,Inputs!$E$17)+INDEX(Inputs!$D$83:$F$83,1,Inputs!$E$17))*(1+Inputs!$F$75)^(BF4-1)*(1+Inputs!$F$71)+BF22*Inputs!$F$72</f>
        <v/>
      </c>
      <c r="BG23" s="3">
        <f>(BG22*INDEX(Inputs!$D$82:$F$82,1,Inputs!$E$17)+INDEX(Inputs!$D$83:$F$83,1,Inputs!$E$17))*(1+Inputs!$F$75)^(BG4-1)*(1+Inputs!$F$71)+BG22*Inputs!$F$72</f>
        <v/>
      </c>
      <c r="BH23" s="3">
        <f>(BH22*INDEX(Inputs!$D$82:$F$82,1,Inputs!$E$17)+INDEX(Inputs!$D$83:$F$83,1,Inputs!$E$17))*(1+Inputs!$F$75)^(BH4-1)*(1+Inputs!$F$71)+BH22*Inputs!$F$72</f>
        <v/>
      </c>
      <c r="BI23" s="3">
        <f>(BI22*INDEX(Inputs!$D$82:$F$82,1,Inputs!$E$17)+INDEX(Inputs!$D$83:$F$83,1,Inputs!$E$17))*(1+Inputs!$F$75)^(BI4-1)*(1+Inputs!$F$71)+BI22*Inputs!$F$72</f>
        <v/>
      </c>
      <c r="BJ23" s="3">
        <f>(BJ22*INDEX(Inputs!$D$82:$F$82,1,Inputs!$E$17)+INDEX(Inputs!$D$83:$F$83,1,Inputs!$E$17))*(1+Inputs!$F$75)^(BJ4-1)*(1+Inputs!$F$71)+BJ22*Inputs!$F$72</f>
        <v/>
      </c>
    </row>
    <row r="24">
      <c r="A24" t="inlineStr">
        <is>
          <t>Ground rent</t>
        </is>
      </c>
      <c r="C24" s="3">
        <f>Inputs!$F$18*Inputs!$F$69*(1+Inputs!$F$74)^(C4-1)</f>
        <v/>
      </c>
      <c r="D24" s="3">
        <f>Inputs!$F$18*Inputs!$F$69*(1+Inputs!$F$74)^(D4-1)</f>
        <v/>
      </c>
      <c r="E24" s="3">
        <f>Inputs!$F$18*Inputs!$F$69*(1+Inputs!$F$74)^(E4-1)</f>
        <v/>
      </c>
      <c r="F24" s="3">
        <f>Inputs!$F$18*Inputs!$F$69*(1+Inputs!$F$74)^(F4-1)</f>
        <v/>
      </c>
      <c r="G24" s="3">
        <f>Inputs!$F$18*Inputs!$F$69*(1+Inputs!$F$74)^(G4-1)</f>
        <v/>
      </c>
      <c r="H24" s="3">
        <f>Inputs!$F$18*Inputs!$F$69*(1+Inputs!$F$74)^(H4-1)</f>
        <v/>
      </c>
      <c r="I24" s="3">
        <f>Inputs!$F$18*Inputs!$F$69*(1+Inputs!$F$74)^(I4-1)</f>
        <v/>
      </c>
      <c r="J24" s="3">
        <f>Inputs!$F$18*Inputs!$F$69*(1+Inputs!$F$74)^(J4-1)</f>
        <v/>
      </c>
      <c r="K24" s="3">
        <f>Inputs!$F$18*Inputs!$F$69*(1+Inputs!$F$74)^(K4-1)</f>
        <v/>
      </c>
      <c r="L24" s="3">
        <f>Inputs!$F$18*Inputs!$F$69*(1+Inputs!$F$74)^(L4-1)</f>
        <v/>
      </c>
      <c r="M24" s="3">
        <f>Inputs!$F$18*Inputs!$F$69*(1+Inputs!$F$74)^(M4-1)</f>
        <v/>
      </c>
      <c r="N24" s="3">
        <f>Inputs!$F$18*Inputs!$F$69*(1+Inputs!$F$74)^(N4-1)</f>
        <v/>
      </c>
      <c r="O24" s="3">
        <f>Inputs!$F$18*Inputs!$F$69*(1+Inputs!$F$74)^(O4-1)</f>
        <v/>
      </c>
      <c r="P24" s="3">
        <f>Inputs!$F$18*Inputs!$F$69*(1+Inputs!$F$74)^(P4-1)</f>
        <v/>
      </c>
      <c r="Q24" s="3">
        <f>Inputs!$F$18*Inputs!$F$69*(1+Inputs!$F$74)^(Q4-1)</f>
        <v/>
      </c>
      <c r="R24" s="3">
        <f>Inputs!$F$18*Inputs!$F$69*(1+Inputs!$F$74)^(R4-1)</f>
        <v/>
      </c>
      <c r="S24" s="3">
        <f>Inputs!$F$18*Inputs!$F$69*(1+Inputs!$F$74)^(S4-1)</f>
        <v/>
      </c>
      <c r="T24" s="3">
        <f>Inputs!$F$18*Inputs!$F$69*(1+Inputs!$F$74)^(T4-1)</f>
        <v/>
      </c>
      <c r="U24" s="3">
        <f>Inputs!$F$18*Inputs!$F$69*(1+Inputs!$F$74)^(U4-1)</f>
        <v/>
      </c>
      <c r="V24" s="3">
        <f>Inputs!$F$18*Inputs!$F$69*(1+Inputs!$F$74)^(V4-1)</f>
        <v/>
      </c>
      <c r="W24" s="3">
        <f>Inputs!$F$18*Inputs!$F$69*(1+Inputs!$F$74)^(W4-1)</f>
        <v/>
      </c>
      <c r="X24" s="3">
        <f>Inputs!$F$18*Inputs!$F$69*(1+Inputs!$F$74)^(X4-1)</f>
        <v/>
      </c>
      <c r="Y24" s="3">
        <f>Inputs!$F$18*Inputs!$F$69*(1+Inputs!$F$74)^(Y4-1)</f>
        <v/>
      </c>
      <c r="Z24" s="3">
        <f>Inputs!$F$18*Inputs!$F$69*(1+Inputs!$F$74)^(Z4-1)</f>
        <v/>
      </c>
      <c r="AA24" s="3">
        <f>Inputs!$F$18*Inputs!$F$69*(1+Inputs!$F$74)^(AA4-1)</f>
        <v/>
      </c>
      <c r="AB24" s="3">
        <f>Inputs!$F$18*Inputs!$F$69*(1+Inputs!$F$74)^(AB4-1)</f>
        <v/>
      </c>
      <c r="AC24" s="3">
        <f>Inputs!$F$18*Inputs!$F$69*(1+Inputs!$F$74)^(AC4-1)</f>
        <v/>
      </c>
      <c r="AD24" s="3">
        <f>Inputs!$F$18*Inputs!$F$69*(1+Inputs!$F$74)^(AD4-1)</f>
        <v/>
      </c>
      <c r="AE24" s="3">
        <f>Inputs!$F$18*Inputs!$F$69*(1+Inputs!$F$74)^(AE4-1)</f>
        <v/>
      </c>
      <c r="AF24" s="3">
        <f>Inputs!$F$18*Inputs!$F$69*(1+Inputs!$F$74)^(AF4-1)</f>
        <v/>
      </c>
      <c r="AG24" s="3">
        <f>Inputs!$F$18*Inputs!$F$69*(1+Inputs!$F$74)^(AG4-1)</f>
        <v/>
      </c>
      <c r="AH24" s="3">
        <f>Inputs!$F$18*Inputs!$F$69*(1+Inputs!$F$74)^(AH4-1)</f>
        <v/>
      </c>
      <c r="AI24" s="3">
        <f>Inputs!$F$18*Inputs!$F$69*(1+Inputs!$F$74)^(AI4-1)</f>
        <v/>
      </c>
      <c r="AJ24" s="3">
        <f>Inputs!$F$18*Inputs!$F$69*(1+Inputs!$F$74)^(AJ4-1)</f>
        <v/>
      </c>
      <c r="AK24" s="3">
        <f>Inputs!$F$18*Inputs!$F$69*(1+Inputs!$F$74)^(AK4-1)</f>
        <v/>
      </c>
      <c r="AL24" s="3">
        <f>Inputs!$F$18*Inputs!$F$69*(1+Inputs!$F$74)^(AL4-1)</f>
        <v/>
      </c>
      <c r="AM24" s="3">
        <f>Inputs!$F$18*Inputs!$F$69*(1+Inputs!$F$74)^(AM4-1)</f>
        <v/>
      </c>
      <c r="AN24" s="3">
        <f>Inputs!$F$18*Inputs!$F$69*(1+Inputs!$F$74)^(AN4-1)</f>
        <v/>
      </c>
      <c r="AO24" s="3">
        <f>Inputs!$F$18*Inputs!$F$69*(1+Inputs!$F$74)^(AO4-1)</f>
        <v/>
      </c>
      <c r="AP24" s="3">
        <f>Inputs!$F$18*Inputs!$F$69*(1+Inputs!$F$74)^(AP4-1)</f>
        <v/>
      </c>
      <c r="AQ24" s="3">
        <f>Inputs!$F$18*Inputs!$F$69*(1+Inputs!$F$74)^(AQ4-1)</f>
        <v/>
      </c>
      <c r="AR24" s="3">
        <f>Inputs!$F$18*Inputs!$F$69*(1+Inputs!$F$74)^(AR4-1)</f>
        <v/>
      </c>
      <c r="AS24" s="3">
        <f>Inputs!$F$18*Inputs!$F$69*(1+Inputs!$F$74)^(AS4-1)</f>
        <v/>
      </c>
      <c r="AT24" s="3">
        <f>Inputs!$F$18*Inputs!$F$69*(1+Inputs!$F$74)^(AT4-1)</f>
        <v/>
      </c>
      <c r="AU24" s="3">
        <f>Inputs!$F$18*Inputs!$F$69*(1+Inputs!$F$74)^(AU4-1)</f>
        <v/>
      </c>
      <c r="AV24" s="3">
        <f>Inputs!$F$18*Inputs!$F$69*(1+Inputs!$F$74)^(AV4-1)</f>
        <v/>
      </c>
      <c r="AW24" s="3">
        <f>Inputs!$F$18*Inputs!$F$69*(1+Inputs!$F$74)^(AW4-1)</f>
        <v/>
      </c>
      <c r="AX24" s="3">
        <f>Inputs!$F$18*Inputs!$F$69*(1+Inputs!$F$74)^(AX4-1)</f>
        <v/>
      </c>
      <c r="AY24" s="3">
        <f>Inputs!$F$18*Inputs!$F$69*(1+Inputs!$F$74)^(AY4-1)</f>
        <v/>
      </c>
      <c r="AZ24" s="3">
        <f>Inputs!$F$18*Inputs!$F$69*(1+Inputs!$F$74)^(AZ4-1)</f>
        <v/>
      </c>
      <c r="BA24" s="3">
        <f>Inputs!$F$18*Inputs!$F$69*(1+Inputs!$F$74)^(BA4-1)</f>
        <v/>
      </c>
      <c r="BB24" s="3">
        <f>Inputs!$F$18*Inputs!$F$69*(1+Inputs!$F$74)^(BB4-1)</f>
        <v/>
      </c>
      <c r="BC24" s="3">
        <f>Inputs!$F$18*Inputs!$F$69*(1+Inputs!$F$74)^(BC4-1)</f>
        <v/>
      </c>
      <c r="BD24" s="3">
        <f>Inputs!$F$18*Inputs!$F$69*(1+Inputs!$F$74)^(BD4-1)</f>
        <v/>
      </c>
      <c r="BE24" s="3">
        <f>Inputs!$F$18*Inputs!$F$69*(1+Inputs!$F$74)^(BE4-1)</f>
        <v/>
      </c>
      <c r="BF24" s="3">
        <f>Inputs!$F$18*Inputs!$F$69*(1+Inputs!$F$74)^(BF4-1)</f>
        <v/>
      </c>
      <c r="BG24" s="3">
        <f>Inputs!$F$18*Inputs!$F$69*(1+Inputs!$F$74)^(BG4-1)</f>
        <v/>
      </c>
      <c r="BH24" s="3">
        <f>Inputs!$F$18*Inputs!$F$69*(1+Inputs!$F$74)^(BH4-1)</f>
        <v/>
      </c>
      <c r="BI24" s="3">
        <f>Inputs!$F$18*Inputs!$F$69*(1+Inputs!$F$74)^(BI4-1)</f>
        <v/>
      </c>
      <c r="BJ24" s="3">
        <f>Inputs!$F$18*Inputs!$F$69*(1+Inputs!$F$74)^(BJ4-1)</f>
        <v/>
      </c>
    </row>
    <row r="25">
      <c r="A25" t="inlineStr">
        <is>
          <t>Other fixed + land tax</t>
        </is>
      </c>
      <c r="C25" s="3">
        <f>Inputs!$F$68*(1+Inputs!$F$74)^(C4-1)+Inputs!$F$70/12</f>
        <v/>
      </c>
      <c r="D25" s="3">
        <f>Inputs!$F$68*(1+Inputs!$F$74)^(D4-1)+Inputs!$F$70/12</f>
        <v/>
      </c>
      <c r="E25" s="3">
        <f>Inputs!$F$68*(1+Inputs!$F$74)^(E4-1)+Inputs!$F$70/12</f>
        <v/>
      </c>
      <c r="F25" s="3">
        <f>Inputs!$F$68*(1+Inputs!$F$74)^(F4-1)+Inputs!$F$70/12</f>
        <v/>
      </c>
      <c r="G25" s="3">
        <f>Inputs!$F$68*(1+Inputs!$F$74)^(G4-1)+Inputs!$F$70/12</f>
        <v/>
      </c>
      <c r="H25" s="3">
        <f>Inputs!$F$68*(1+Inputs!$F$74)^(H4-1)+Inputs!$F$70/12</f>
        <v/>
      </c>
      <c r="I25" s="3">
        <f>Inputs!$F$68*(1+Inputs!$F$74)^(I4-1)+Inputs!$F$70/12</f>
        <v/>
      </c>
      <c r="J25" s="3">
        <f>Inputs!$F$68*(1+Inputs!$F$74)^(J4-1)+Inputs!$F$70/12</f>
        <v/>
      </c>
      <c r="K25" s="3">
        <f>Inputs!$F$68*(1+Inputs!$F$74)^(K4-1)+Inputs!$F$70/12</f>
        <v/>
      </c>
      <c r="L25" s="3">
        <f>Inputs!$F$68*(1+Inputs!$F$74)^(L4-1)+Inputs!$F$70/12</f>
        <v/>
      </c>
      <c r="M25" s="3">
        <f>Inputs!$F$68*(1+Inputs!$F$74)^(M4-1)+Inputs!$F$70/12</f>
        <v/>
      </c>
      <c r="N25" s="3">
        <f>Inputs!$F$68*(1+Inputs!$F$74)^(N4-1)+Inputs!$F$70/12</f>
        <v/>
      </c>
      <c r="O25" s="3">
        <f>Inputs!$F$68*(1+Inputs!$F$74)^(O4-1)+Inputs!$F$70/12</f>
        <v/>
      </c>
      <c r="P25" s="3">
        <f>Inputs!$F$68*(1+Inputs!$F$74)^(P4-1)+Inputs!$F$70/12</f>
        <v/>
      </c>
      <c r="Q25" s="3">
        <f>Inputs!$F$68*(1+Inputs!$F$74)^(Q4-1)+Inputs!$F$70/12</f>
        <v/>
      </c>
      <c r="R25" s="3">
        <f>Inputs!$F$68*(1+Inputs!$F$74)^(R4-1)+Inputs!$F$70/12</f>
        <v/>
      </c>
      <c r="S25" s="3">
        <f>Inputs!$F$68*(1+Inputs!$F$74)^(S4-1)+Inputs!$F$70/12</f>
        <v/>
      </c>
      <c r="T25" s="3">
        <f>Inputs!$F$68*(1+Inputs!$F$74)^(T4-1)+Inputs!$F$70/12</f>
        <v/>
      </c>
      <c r="U25" s="3">
        <f>Inputs!$F$68*(1+Inputs!$F$74)^(U4-1)+Inputs!$F$70/12</f>
        <v/>
      </c>
      <c r="V25" s="3">
        <f>Inputs!$F$68*(1+Inputs!$F$74)^(V4-1)+Inputs!$F$70/12</f>
        <v/>
      </c>
      <c r="W25" s="3">
        <f>Inputs!$F$68*(1+Inputs!$F$74)^(W4-1)+Inputs!$F$70/12</f>
        <v/>
      </c>
      <c r="X25" s="3">
        <f>Inputs!$F$68*(1+Inputs!$F$74)^(X4-1)+Inputs!$F$70/12</f>
        <v/>
      </c>
      <c r="Y25" s="3">
        <f>Inputs!$F$68*(1+Inputs!$F$74)^(Y4-1)+Inputs!$F$70/12</f>
        <v/>
      </c>
      <c r="Z25" s="3">
        <f>Inputs!$F$68*(1+Inputs!$F$74)^(Z4-1)+Inputs!$F$70/12</f>
        <v/>
      </c>
      <c r="AA25" s="3">
        <f>Inputs!$F$68*(1+Inputs!$F$74)^(AA4-1)+Inputs!$F$70/12</f>
        <v/>
      </c>
      <c r="AB25" s="3">
        <f>Inputs!$F$68*(1+Inputs!$F$74)^(AB4-1)+Inputs!$F$70/12</f>
        <v/>
      </c>
      <c r="AC25" s="3">
        <f>Inputs!$F$68*(1+Inputs!$F$74)^(AC4-1)+Inputs!$F$70/12</f>
        <v/>
      </c>
      <c r="AD25" s="3">
        <f>Inputs!$F$68*(1+Inputs!$F$74)^(AD4-1)+Inputs!$F$70/12</f>
        <v/>
      </c>
      <c r="AE25" s="3">
        <f>Inputs!$F$68*(1+Inputs!$F$74)^(AE4-1)+Inputs!$F$70/12</f>
        <v/>
      </c>
      <c r="AF25" s="3">
        <f>Inputs!$F$68*(1+Inputs!$F$74)^(AF4-1)+Inputs!$F$70/12</f>
        <v/>
      </c>
      <c r="AG25" s="3">
        <f>Inputs!$F$68*(1+Inputs!$F$74)^(AG4-1)+Inputs!$F$70/12</f>
        <v/>
      </c>
      <c r="AH25" s="3">
        <f>Inputs!$F$68*(1+Inputs!$F$74)^(AH4-1)+Inputs!$F$70/12</f>
        <v/>
      </c>
      <c r="AI25" s="3">
        <f>Inputs!$F$68*(1+Inputs!$F$74)^(AI4-1)+Inputs!$F$70/12</f>
        <v/>
      </c>
      <c r="AJ25" s="3">
        <f>Inputs!$F$68*(1+Inputs!$F$74)^(AJ4-1)+Inputs!$F$70/12</f>
        <v/>
      </c>
      <c r="AK25" s="3">
        <f>Inputs!$F$68*(1+Inputs!$F$74)^(AK4-1)+Inputs!$F$70/12</f>
        <v/>
      </c>
      <c r="AL25" s="3">
        <f>Inputs!$F$68*(1+Inputs!$F$74)^(AL4-1)+Inputs!$F$70/12</f>
        <v/>
      </c>
      <c r="AM25" s="3">
        <f>Inputs!$F$68*(1+Inputs!$F$74)^(AM4-1)+Inputs!$F$70/12</f>
        <v/>
      </c>
      <c r="AN25" s="3">
        <f>Inputs!$F$68*(1+Inputs!$F$74)^(AN4-1)+Inputs!$F$70/12</f>
        <v/>
      </c>
      <c r="AO25" s="3">
        <f>Inputs!$F$68*(1+Inputs!$F$74)^(AO4-1)+Inputs!$F$70/12</f>
        <v/>
      </c>
      <c r="AP25" s="3">
        <f>Inputs!$F$68*(1+Inputs!$F$74)^(AP4-1)+Inputs!$F$70/12</f>
        <v/>
      </c>
      <c r="AQ25" s="3">
        <f>Inputs!$F$68*(1+Inputs!$F$74)^(AQ4-1)+Inputs!$F$70/12</f>
        <v/>
      </c>
      <c r="AR25" s="3">
        <f>Inputs!$F$68*(1+Inputs!$F$74)^(AR4-1)+Inputs!$F$70/12</f>
        <v/>
      </c>
      <c r="AS25" s="3">
        <f>Inputs!$F$68*(1+Inputs!$F$74)^(AS4-1)+Inputs!$F$70/12</f>
        <v/>
      </c>
      <c r="AT25" s="3">
        <f>Inputs!$F$68*(1+Inputs!$F$74)^(AT4-1)+Inputs!$F$70/12</f>
        <v/>
      </c>
      <c r="AU25" s="3">
        <f>Inputs!$F$68*(1+Inputs!$F$74)^(AU4-1)+Inputs!$F$70/12</f>
        <v/>
      </c>
      <c r="AV25" s="3">
        <f>Inputs!$F$68*(1+Inputs!$F$74)^(AV4-1)+Inputs!$F$70/12</f>
        <v/>
      </c>
      <c r="AW25" s="3">
        <f>Inputs!$F$68*(1+Inputs!$F$74)^(AW4-1)+Inputs!$F$70/12</f>
        <v/>
      </c>
      <c r="AX25" s="3">
        <f>Inputs!$F$68*(1+Inputs!$F$74)^(AX4-1)+Inputs!$F$70/12</f>
        <v/>
      </c>
      <c r="AY25" s="3">
        <f>Inputs!$F$68*(1+Inputs!$F$74)^(AY4-1)+Inputs!$F$70/12</f>
        <v/>
      </c>
      <c r="AZ25" s="3">
        <f>Inputs!$F$68*(1+Inputs!$F$74)^(AZ4-1)+Inputs!$F$70/12</f>
        <v/>
      </c>
      <c r="BA25" s="3">
        <f>Inputs!$F$68*(1+Inputs!$F$74)^(BA4-1)+Inputs!$F$70/12</f>
        <v/>
      </c>
      <c r="BB25" s="3">
        <f>Inputs!$F$68*(1+Inputs!$F$74)^(BB4-1)+Inputs!$F$70/12</f>
        <v/>
      </c>
      <c r="BC25" s="3">
        <f>Inputs!$F$68*(1+Inputs!$F$74)^(BC4-1)+Inputs!$F$70/12</f>
        <v/>
      </c>
      <c r="BD25" s="3">
        <f>Inputs!$F$68*(1+Inputs!$F$74)^(BD4-1)+Inputs!$F$70/12</f>
        <v/>
      </c>
      <c r="BE25" s="3">
        <f>Inputs!$F$68*(1+Inputs!$F$74)^(BE4-1)+Inputs!$F$70/12</f>
        <v/>
      </c>
      <c r="BF25" s="3">
        <f>Inputs!$F$68*(1+Inputs!$F$74)^(BF4-1)+Inputs!$F$70/12</f>
        <v/>
      </c>
      <c r="BG25" s="3">
        <f>Inputs!$F$68*(1+Inputs!$F$74)^(BG4-1)+Inputs!$F$70/12</f>
        <v/>
      </c>
      <c r="BH25" s="3">
        <f>Inputs!$F$68*(1+Inputs!$F$74)^(BH4-1)+Inputs!$F$70/12</f>
        <v/>
      </c>
      <c r="BI25" s="3">
        <f>Inputs!$F$68*(1+Inputs!$F$74)^(BI4-1)+Inputs!$F$70/12</f>
        <v/>
      </c>
      <c r="BJ25" s="3">
        <f>Inputs!$F$68*(1+Inputs!$F$74)^(BJ4-1)+Inputs!$F$70/12</f>
        <v/>
      </c>
    </row>
    <row r="26">
      <c r="A26" s="18" t="inlineStr">
        <is>
          <t>Total operating costs</t>
        </is>
      </c>
      <c r="C26" s="3">
        <f>SUM(C15:C20)+C23+C24+C25</f>
        <v/>
      </c>
      <c r="D26" s="3">
        <f>SUM(D15:D20)+D23+D24+D25</f>
        <v/>
      </c>
      <c r="E26" s="3">
        <f>SUM(E15:E20)+E23+E24+E25</f>
        <v/>
      </c>
      <c r="F26" s="3">
        <f>SUM(F15:F20)+F23+F24+F25</f>
        <v/>
      </c>
      <c r="G26" s="3">
        <f>SUM(G15:G20)+G23+G24+G25</f>
        <v/>
      </c>
      <c r="H26" s="3">
        <f>SUM(H15:H20)+H23+H24+H25</f>
        <v/>
      </c>
      <c r="I26" s="3">
        <f>SUM(I15:I20)+I23+I24+I25</f>
        <v/>
      </c>
      <c r="J26" s="3">
        <f>SUM(J15:J20)+J23+J24+J25</f>
        <v/>
      </c>
      <c r="K26" s="3">
        <f>SUM(K15:K20)+K23+K24+K25</f>
        <v/>
      </c>
      <c r="L26" s="3">
        <f>SUM(L15:L20)+L23+L24+L25</f>
        <v/>
      </c>
      <c r="M26" s="3">
        <f>SUM(M15:M20)+M23+M24+M25</f>
        <v/>
      </c>
      <c r="N26" s="3">
        <f>SUM(N15:N20)+N23+N24+N25</f>
        <v/>
      </c>
      <c r="O26" s="3">
        <f>SUM(O15:O20)+O23+O24+O25</f>
        <v/>
      </c>
      <c r="P26" s="3">
        <f>SUM(P15:P20)+P23+P24+P25</f>
        <v/>
      </c>
      <c r="Q26" s="3">
        <f>SUM(Q15:Q20)+Q23+Q24+Q25</f>
        <v/>
      </c>
      <c r="R26" s="3">
        <f>SUM(R15:R20)+R23+R24+R25</f>
        <v/>
      </c>
      <c r="S26" s="3">
        <f>SUM(S15:S20)+S23+S24+S25</f>
        <v/>
      </c>
      <c r="T26" s="3">
        <f>SUM(T15:T20)+T23+T24+T25</f>
        <v/>
      </c>
      <c r="U26" s="3">
        <f>SUM(U15:U20)+U23+U24+U25</f>
        <v/>
      </c>
      <c r="V26" s="3">
        <f>SUM(V15:V20)+V23+V24+V25</f>
        <v/>
      </c>
      <c r="W26" s="3">
        <f>SUM(W15:W20)+W23+W24+W25</f>
        <v/>
      </c>
      <c r="X26" s="3">
        <f>SUM(X15:X20)+X23+X24+X25</f>
        <v/>
      </c>
      <c r="Y26" s="3">
        <f>SUM(Y15:Y20)+Y23+Y24+Y25</f>
        <v/>
      </c>
      <c r="Z26" s="3">
        <f>SUM(Z15:Z20)+Z23+Z24+Z25</f>
        <v/>
      </c>
      <c r="AA26" s="3">
        <f>SUM(AA15:AA20)+AA23+AA24+AA25</f>
        <v/>
      </c>
      <c r="AB26" s="3">
        <f>SUM(AB15:AB20)+AB23+AB24+AB25</f>
        <v/>
      </c>
      <c r="AC26" s="3">
        <f>SUM(AC15:AC20)+AC23+AC24+AC25</f>
        <v/>
      </c>
      <c r="AD26" s="3">
        <f>SUM(AD15:AD20)+AD23+AD24+AD25</f>
        <v/>
      </c>
      <c r="AE26" s="3">
        <f>SUM(AE15:AE20)+AE23+AE24+AE25</f>
        <v/>
      </c>
      <c r="AF26" s="3">
        <f>SUM(AF15:AF20)+AF23+AF24+AF25</f>
        <v/>
      </c>
      <c r="AG26" s="3">
        <f>SUM(AG15:AG20)+AG23+AG24+AG25</f>
        <v/>
      </c>
      <c r="AH26" s="3">
        <f>SUM(AH15:AH20)+AH23+AH24+AH25</f>
        <v/>
      </c>
      <c r="AI26" s="3">
        <f>SUM(AI15:AI20)+AI23+AI24+AI25</f>
        <v/>
      </c>
      <c r="AJ26" s="3">
        <f>SUM(AJ15:AJ20)+AJ23+AJ24+AJ25</f>
        <v/>
      </c>
      <c r="AK26" s="3">
        <f>SUM(AK15:AK20)+AK23+AK24+AK25</f>
        <v/>
      </c>
      <c r="AL26" s="3">
        <f>SUM(AL15:AL20)+AL23+AL24+AL25</f>
        <v/>
      </c>
      <c r="AM26" s="3">
        <f>SUM(AM15:AM20)+AM23+AM24+AM25</f>
        <v/>
      </c>
      <c r="AN26" s="3">
        <f>SUM(AN15:AN20)+AN23+AN24+AN25</f>
        <v/>
      </c>
      <c r="AO26" s="3">
        <f>SUM(AO15:AO20)+AO23+AO24+AO25</f>
        <v/>
      </c>
      <c r="AP26" s="3">
        <f>SUM(AP15:AP20)+AP23+AP24+AP25</f>
        <v/>
      </c>
      <c r="AQ26" s="3">
        <f>SUM(AQ15:AQ20)+AQ23+AQ24+AQ25</f>
        <v/>
      </c>
      <c r="AR26" s="3">
        <f>SUM(AR15:AR20)+AR23+AR24+AR25</f>
        <v/>
      </c>
      <c r="AS26" s="3">
        <f>SUM(AS15:AS20)+AS23+AS24+AS25</f>
        <v/>
      </c>
      <c r="AT26" s="3">
        <f>SUM(AT15:AT20)+AT23+AT24+AT25</f>
        <v/>
      </c>
      <c r="AU26" s="3">
        <f>SUM(AU15:AU20)+AU23+AU24+AU25</f>
        <v/>
      </c>
      <c r="AV26" s="3">
        <f>SUM(AV15:AV20)+AV23+AV24+AV25</f>
        <v/>
      </c>
      <c r="AW26" s="3">
        <f>SUM(AW15:AW20)+AW23+AW24+AW25</f>
        <v/>
      </c>
      <c r="AX26" s="3">
        <f>SUM(AX15:AX20)+AX23+AX24+AX25</f>
        <v/>
      </c>
      <c r="AY26" s="3">
        <f>SUM(AY15:AY20)+AY23+AY24+AY25</f>
        <v/>
      </c>
      <c r="AZ26" s="3">
        <f>SUM(AZ15:AZ20)+AZ23+AZ24+AZ25</f>
        <v/>
      </c>
      <c r="BA26" s="3">
        <f>SUM(BA15:BA20)+BA23+BA24+BA25</f>
        <v/>
      </c>
      <c r="BB26" s="3">
        <f>SUM(BB15:BB20)+BB23+BB24+BB25</f>
        <v/>
      </c>
      <c r="BC26" s="3">
        <f>SUM(BC15:BC20)+BC23+BC24+BC25</f>
        <v/>
      </c>
      <c r="BD26" s="3">
        <f>SUM(BD15:BD20)+BD23+BD24+BD25</f>
        <v/>
      </c>
      <c r="BE26" s="3">
        <f>SUM(BE15:BE20)+BE23+BE24+BE25</f>
        <v/>
      </c>
      <c r="BF26" s="3">
        <f>SUM(BF15:BF20)+BF23+BF24+BF25</f>
        <v/>
      </c>
      <c r="BG26" s="3">
        <f>SUM(BG15:BG20)+BG23+BG24+BG25</f>
        <v/>
      </c>
      <c r="BH26" s="3">
        <f>SUM(BH15:BH20)+BH23+BH24+BH25</f>
        <v/>
      </c>
      <c r="BI26" s="3">
        <f>SUM(BI15:BI20)+BI23+BI24+BI25</f>
        <v/>
      </c>
      <c r="BJ26" s="3">
        <f>SUM(BJ15:BJ20)+BJ23+BJ24+BJ25</f>
        <v/>
      </c>
    </row>
    <row r="27">
      <c r="A27" s="18" t="inlineStr">
        <is>
          <t>EBITDA</t>
        </is>
      </c>
      <c r="C27" s="3">
        <f>C14-C26</f>
        <v/>
      </c>
      <c r="D27" s="3">
        <f>D14-D26</f>
        <v/>
      </c>
      <c r="E27" s="3">
        <f>E14-E26</f>
        <v/>
      </c>
      <c r="F27" s="3">
        <f>F14-F26</f>
        <v/>
      </c>
      <c r="G27" s="3">
        <f>G14-G26</f>
        <v/>
      </c>
      <c r="H27" s="3">
        <f>H14-H26</f>
        <v/>
      </c>
      <c r="I27" s="3">
        <f>I14-I26</f>
        <v/>
      </c>
      <c r="J27" s="3">
        <f>J14-J26</f>
        <v/>
      </c>
      <c r="K27" s="3">
        <f>K14-K26</f>
        <v/>
      </c>
      <c r="L27" s="3">
        <f>L14-L26</f>
        <v/>
      </c>
      <c r="M27" s="3">
        <f>M14-M26</f>
        <v/>
      </c>
      <c r="N27" s="3">
        <f>N14-N26</f>
        <v/>
      </c>
      <c r="O27" s="3">
        <f>O14-O26</f>
        <v/>
      </c>
      <c r="P27" s="3">
        <f>P14-P26</f>
        <v/>
      </c>
      <c r="Q27" s="3">
        <f>Q14-Q26</f>
        <v/>
      </c>
      <c r="R27" s="3">
        <f>R14-R26</f>
        <v/>
      </c>
      <c r="S27" s="3">
        <f>S14-S26</f>
        <v/>
      </c>
      <c r="T27" s="3">
        <f>T14-T26</f>
        <v/>
      </c>
      <c r="U27" s="3">
        <f>U14-U26</f>
        <v/>
      </c>
      <c r="V27" s="3">
        <f>V14-V26</f>
        <v/>
      </c>
      <c r="W27" s="3">
        <f>W14-W26</f>
        <v/>
      </c>
      <c r="X27" s="3">
        <f>X14-X26</f>
        <v/>
      </c>
      <c r="Y27" s="3">
        <f>Y14-Y26</f>
        <v/>
      </c>
      <c r="Z27" s="3">
        <f>Z14-Z26</f>
        <v/>
      </c>
      <c r="AA27" s="3">
        <f>AA14-AA26</f>
        <v/>
      </c>
      <c r="AB27" s="3">
        <f>AB14-AB26</f>
        <v/>
      </c>
      <c r="AC27" s="3">
        <f>AC14-AC26</f>
        <v/>
      </c>
      <c r="AD27" s="3">
        <f>AD14-AD26</f>
        <v/>
      </c>
      <c r="AE27" s="3">
        <f>AE14-AE26</f>
        <v/>
      </c>
      <c r="AF27" s="3">
        <f>AF14-AF26</f>
        <v/>
      </c>
      <c r="AG27" s="3">
        <f>AG14-AG26</f>
        <v/>
      </c>
      <c r="AH27" s="3">
        <f>AH14-AH26</f>
        <v/>
      </c>
      <c r="AI27" s="3">
        <f>AI14-AI26</f>
        <v/>
      </c>
      <c r="AJ27" s="3">
        <f>AJ14-AJ26</f>
        <v/>
      </c>
      <c r="AK27" s="3">
        <f>AK14-AK26</f>
        <v/>
      </c>
      <c r="AL27" s="3">
        <f>AL14-AL26</f>
        <v/>
      </c>
      <c r="AM27" s="3">
        <f>AM14-AM26</f>
        <v/>
      </c>
      <c r="AN27" s="3">
        <f>AN14-AN26</f>
        <v/>
      </c>
      <c r="AO27" s="3">
        <f>AO14-AO26</f>
        <v/>
      </c>
      <c r="AP27" s="3">
        <f>AP14-AP26</f>
        <v/>
      </c>
      <c r="AQ27" s="3">
        <f>AQ14-AQ26</f>
        <v/>
      </c>
      <c r="AR27" s="3">
        <f>AR14-AR26</f>
        <v/>
      </c>
      <c r="AS27" s="3">
        <f>AS14-AS26</f>
        <v/>
      </c>
      <c r="AT27" s="3">
        <f>AT14-AT26</f>
        <v/>
      </c>
      <c r="AU27" s="3">
        <f>AU14-AU26</f>
        <v/>
      </c>
      <c r="AV27" s="3">
        <f>AV14-AV26</f>
        <v/>
      </c>
      <c r="AW27" s="3">
        <f>AW14-AW26</f>
        <v/>
      </c>
      <c r="AX27" s="3">
        <f>AX14-AX26</f>
        <v/>
      </c>
      <c r="AY27" s="3">
        <f>AY14-AY26</f>
        <v/>
      </c>
      <c r="AZ27" s="3">
        <f>AZ14-AZ26</f>
        <v/>
      </c>
      <c r="BA27" s="3">
        <f>BA14-BA26</f>
        <v/>
      </c>
      <c r="BB27" s="3">
        <f>BB14-BB26</f>
        <v/>
      </c>
      <c r="BC27" s="3">
        <f>BC14-BC26</f>
        <v/>
      </c>
      <c r="BD27" s="3">
        <f>BD14-BD26</f>
        <v/>
      </c>
      <c r="BE27" s="3">
        <f>BE14-BE26</f>
        <v/>
      </c>
      <c r="BF27" s="3">
        <f>BF14-BF26</f>
        <v/>
      </c>
      <c r="BG27" s="3">
        <f>BG14-BG26</f>
        <v/>
      </c>
      <c r="BH27" s="3">
        <f>BH14-BH26</f>
        <v/>
      </c>
      <c r="BI27" s="3">
        <f>BI14-BI26</f>
        <v/>
      </c>
      <c r="BJ27" s="3">
        <f>BJ14-BJ26</f>
        <v/>
      </c>
    </row>
    <row r="28">
      <c r="A28" t="inlineStr">
        <is>
          <t>Depreciation</t>
        </is>
      </c>
      <c r="C28" s="3">
        <f>IF(AND(Inputs!$E$88&gt;0,C3&lt;=Inputs!$E$88*12),INDEX(Capex!$C$19:$E$19,1,Inputs!$E$17)/MAX(Inputs!$E$88,1)/12,0)+IF(AND(Inputs!$E$89&gt;0,C3&lt;=Inputs!$E$89*12),INDEX(Capex!$C$20:$E$20,1,Inputs!$E$17)/MAX(Inputs!$E$89,1)/12,0)+IF(AND(Inputs!$E$90&gt;0,C3&lt;=Inputs!$E$90*12),INDEX(Capex!$C$21:$E$21,1,Inputs!$E$17)/MAX(Inputs!$E$90,1)/12,0)+IF(AND(Inputs!$E$91&gt;0,C3&lt;=Inputs!$E$91*12),INDEX(Capex!$C$22:$E$22,1,Inputs!$E$17)/MAX(Inputs!$E$91,1)/12,0)+IF(AND(Inputs!$E$92&gt;0,C3&lt;=Inputs!$E$92*12),INDEX(Capex!$C$23:$E$23,1,Inputs!$E$17)/MAX(Inputs!$E$92,1)/12,0)+IF(AND(Inputs!$E$93&gt;0,C3&lt;=Inputs!$E$93*12),INDEX(Capex!$C$24:$E$24,1,Inputs!$E$17)/MAX(Inputs!$E$93,1)/12,0)+IF(AND(Inputs!$E$94&gt;0,C3&lt;=Inputs!$E$94*12),INDEX(Capex!$C$25:$E$25,1,Inputs!$E$17)/MAX(Inputs!$E$94,1)/12,0)</f>
        <v/>
      </c>
      <c r="D28" s="3">
        <f>IF(AND(Inputs!$E$88&gt;0,D3&lt;=Inputs!$E$88*12),INDEX(Capex!$C$19:$E$19,1,Inputs!$E$17)/MAX(Inputs!$E$88,1)/12,0)+IF(AND(Inputs!$E$89&gt;0,D3&lt;=Inputs!$E$89*12),INDEX(Capex!$C$20:$E$20,1,Inputs!$E$17)/MAX(Inputs!$E$89,1)/12,0)+IF(AND(Inputs!$E$90&gt;0,D3&lt;=Inputs!$E$90*12),INDEX(Capex!$C$21:$E$21,1,Inputs!$E$17)/MAX(Inputs!$E$90,1)/12,0)+IF(AND(Inputs!$E$91&gt;0,D3&lt;=Inputs!$E$91*12),INDEX(Capex!$C$22:$E$22,1,Inputs!$E$17)/MAX(Inputs!$E$91,1)/12,0)+IF(AND(Inputs!$E$92&gt;0,D3&lt;=Inputs!$E$92*12),INDEX(Capex!$C$23:$E$23,1,Inputs!$E$17)/MAX(Inputs!$E$92,1)/12,0)+IF(AND(Inputs!$E$93&gt;0,D3&lt;=Inputs!$E$93*12),INDEX(Capex!$C$24:$E$24,1,Inputs!$E$17)/MAX(Inputs!$E$93,1)/12,0)+IF(AND(Inputs!$E$94&gt;0,D3&lt;=Inputs!$E$94*12),INDEX(Capex!$C$25:$E$25,1,Inputs!$E$17)/MAX(Inputs!$E$94,1)/12,0)</f>
        <v/>
      </c>
      <c r="E28" s="3">
        <f>IF(AND(Inputs!$E$88&gt;0,E3&lt;=Inputs!$E$88*12),INDEX(Capex!$C$19:$E$19,1,Inputs!$E$17)/MAX(Inputs!$E$88,1)/12,0)+IF(AND(Inputs!$E$89&gt;0,E3&lt;=Inputs!$E$89*12),INDEX(Capex!$C$20:$E$20,1,Inputs!$E$17)/MAX(Inputs!$E$89,1)/12,0)+IF(AND(Inputs!$E$90&gt;0,E3&lt;=Inputs!$E$90*12),INDEX(Capex!$C$21:$E$21,1,Inputs!$E$17)/MAX(Inputs!$E$90,1)/12,0)+IF(AND(Inputs!$E$91&gt;0,E3&lt;=Inputs!$E$91*12),INDEX(Capex!$C$22:$E$22,1,Inputs!$E$17)/MAX(Inputs!$E$91,1)/12,0)+IF(AND(Inputs!$E$92&gt;0,E3&lt;=Inputs!$E$92*12),INDEX(Capex!$C$23:$E$23,1,Inputs!$E$17)/MAX(Inputs!$E$92,1)/12,0)+IF(AND(Inputs!$E$93&gt;0,E3&lt;=Inputs!$E$93*12),INDEX(Capex!$C$24:$E$24,1,Inputs!$E$17)/MAX(Inputs!$E$93,1)/12,0)+IF(AND(Inputs!$E$94&gt;0,E3&lt;=Inputs!$E$94*12),INDEX(Capex!$C$25:$E$25,1,Inputs!$E$17)/MAX(Inputs!$E$94,1)/12,0)</f>
        <v/>
      </c>
      <c r="F28" s="3">
        <f>IF(AND(Inputs!$E$88&gt;0,F3&lt;=Inputs!$E$88*12),INDEX(Capex!$C$19:$E$19,1,Inputs!$E$17)/MAX(Inputs!$E$88,1)/12,0)+IF(AND(Inputs!$E$89&gt;0,F3&lt;=Inputs!$E$89*12),INDEX(Capex!$C$20:$E$20,1,Inputs!$E$17)/MAX(Inputs!$E$89,1)/12,0)+IF(AND(Inputs!$E$90&gt;0,F3&lt;=Inputs!$E$90*12),INDEX(Capex!$C$21:$E$21,1,Inputs!$E$17)/MAX(Inputs!$E$90,1)/12,0)+IF(AND(Inputs!$E$91&gt;0,F3&lt;=Inputs!$E$91*12),INDEX(Capex!$C$22:$E$22,1,Inputs!$E$17)/MAX(Inputs!$E$91,1)/12,0)+IF(AND(Inputs!$E$92&gt;0,F3&lt;=Inputs!$E$92*12),INDEX(Capex!$C$23:$E$23,1,Inputs!$E$17)/MAX(Inputs!$E$92,1)/12,0)+IF(AND(Inputs!$E$93&gt;0,F3&lt;=Inputs!$E$93*12),INDEX(Capex!$C$24:$E$24,1,Inputs!$E$17)/MAX(Inputs!$E$93,1)/12,0)+IF(AND(Inputs!$E$94&gt;0,F3&lt;=Inputs!$E$94*12),INDEX(Capex!$C$25:$E$25,1,Inputs!$E$17)/MAX(Inputs!$E$94,1)/12,0)</f>
        <v/>
      </c>
      <c r="G28" s="3">
        <f>IF(AND(Inputs!$E$88&gt;0,G3&lt;=Inputs!$E$88*12),INDEX(Capex!$C$19:$E$19,1,Inputs!$E$17)/MAX(Inputs!$E$88,1)/12,0)+IF(AND(Inputs!$E$89&gt;0,G3&lt;=Inputs!$E$89*12),INDEX(Capex!$C$20:$E$20,1,Inputs!$E$17)/MAX(Inputs!$E$89,1)/12,0)+IF(AND(Inputs!$E$90&gt;0,G3&lt;=Inputs!$E$90*12),INDEX(Capex!$C$21:$E$21,1,Inputs!$E$17)/MAX(Inputs!$E$90,1)/12,0)+IF(AND(Inputs!$E$91&gt;0,G3&lt;=Inputs!$E$91*12),INDEX(Capex!$C$22:$E$22,1,Inputs!$E$17)/MAX(Inputs!$E$91,1)/12,0)+IF(AND(Inputs!$E$92&gt;0,G3&lt;=Inputs!$E$92*12),INDEX(Capex!$C$23:$E$23,1,Inputs!$E$17)/MAX(Inputs!$E$92,1)/12,0)+IF(AND(Inputs!$E$93&gt;0,G3&lt;=Inputs!$E$93*12),INDEX(Capex!$C$24:$E$24,1,Inputs!$E$17)/MAX(Inputs!$E$93,1)/12,0)+IF(AND(Inputs!$E$94&gt;0,G3&lt;=Inputs!$E$94*12),INDEX(Capex!$C$25:$E$25,1,Inputs!$E$17)/MAX(Inputs!$E$94,1)/12,0)</f>
        <v/>
      </c>
      <c r="H28" s="3">
        <f>IF(AND(Inputs!$E$88&gt;0,H3&lt;=Inputs!$E$88*12),INDEX(Capex!$C$19:$E$19,1,Inputs!$E$17)/MAX(Inputs!$E$88,1)/12,0)+IF(AND(Inputs!$E$89&gt;0,H3&lt;=Inputs!$E$89*12),INDEX(Capex!$C$20:$E$20,1,Inputs!$E$17)/MAX(Inputs!$E$89,1)/12,0)+IF(AND(Inputs!$E$90&gt;0,H3&lt;=Inputs!$E$90*12),INDEX(Capex!$C$21:$E$21,1,Inputs!$E$17)/MAX(Inputs!$E$90,1)/12,0)+IF(AND(Inputs!$E$91&gt;0,H3&lt;=Inputs!$E$91*12),INDEX(Capex!$C$22:$E$22,1,Inputs!$E$17)/MAX(Inputs!$E$91,1)/12,0)+IF(AND(Inputs!$E$92&gt;0,H3&lt;=Inputs!$E$92*12),INDEX(Capex!$C$23:$E$23,1,Inputs!$E$17)/MAX(Inputs!$E$92,1)/12,0)+IF(AND(Inputs!$E$93&gt;0,H3&lt;=Inputs!$E$93*12),INDEX(Capex!$C$24:$E$24,1,Inputs!$E$17)/MAX(Inputs!$E$93,1)/12,0)+IF(AND(Inputs!$E$94&gt;0,H3&lt;=Inputs!$E$94*12),INDEX(Capex!$C$25:$E$25,1,Inputs!$E$17)/MAX(Inputs!$E$94,1)/12,0)</f>
        <v/>
      </c>
      <c r="I28" s="3">
        <f>IF(AND(Inputs!$E$88&gt;0,I3&lt;=Inputs!$E$88*12),INDEX(Capex!$C$19:$E$19,1,Inputs!$E$17)/MAX(Inputs!$E$88,1)/12,0)+IF(AND(Inputs!$E$89&gt;0,I3&lt;=Inputs!$E$89*12),INDEX(Capex!$C$20:$E$20,1,Inputs!$E$17)/MAX(Inputs!$E$89,1)/12,0)+IF(AND(Inputs!$E$90&gt;0,I3&lt;=Inputs!$E$90*12),INDEX(Capex!$C$21:$E$21,1,Inputs!$E$17)/MAX(Inputs!$E$90,1)/12,0)+IF(AND(Inputs!$E$91&gt;0,I3&lt;=Inputs!$E$91*12),INDEX(Capex!$C$22:$E$22,1,Inputs!$E$17)/MAX(Inputs!$E$91,1)/12,0)+IF(AND(Inputs!$E$92&gt;0,I3&lt;=Inputs!$E$92*12),INDEX(Capex!$C$23:$E$23,1,Inputs!$E$17)/MAX(Inputs!$E$92,1)/12,0)+IF(AND(Inputs!$E$93&gt;0,I3&lt;=Inputs!$E$93*12),INDEX(Capex!$C$24:$E$24,1,Inputs!$E$17)/MAX(Inputs!$E$93,1)/12,0)+IF(AND(Inputs!$E$94&gt;0,I3&lt;=Inputs!$E$94*12),INDEX(Capex!$C$25:$E$25,1,Inputs!$E$17)/MAX(Inputs!$E$94,1)/12,0)</f>
        <v/>
      </c>
      <c r="J28" s="3">
        <f>IF(AND(Inputs!$E$88&gt;0,J3&lt;=Inputs!$E$88*12),INDEX(Capex!$C$19:$E$19,1,Inputs!$E$17)/MAX(Inputs!$E$88,1)/12,0)+IF(AND(Inputs!$E$89&gt;0,J3&lt;=Inputs!$E$89*12),INDEX(Capex!$C$20:$E$20,1,Inputs!$E$17)/MAX(Inputs!$E$89,1)/12,0)+IF(AND(Inputs!$E$90&gt;0,J3&lt;=Inputs!$E$90*12),INDEX(Capex!$C$21:$E$21,1,Inputs!$E$17)/MAX(Inputs!$E$90,1)/12,0)+IF(AND(Inputs!$E$91&gt;0,J3&lt;=Inputs!$E$91*12),INDEX(Capex!$C$22:$E$22,1,Inputs!$E$17)/MAX(Inputs!$E$91,1)/12,0)+IF(AND(Inputs!$E$92&gt;0,J3&lt;=Inputs!$E$92*12),INDEX(Capex!$C$23:$E$23,1,Inputs!$E$17)/MAX(Inputs!$E$92,1)/12,0)+IF(AND(Inputs!$E$93&gt;0,J3&lt;=Inputs!$E$93*12),INDEX(Capex!$C$24:$E$24,1,Inputs!$E$17)/MAX(Inputs!$E$93,1)/12,0)+IF(AND(Inputs!$E$94&gt;0,J3&lt;=Inputs!$E$94*12),INDEX(Capex!$C$25:$E$25,1,Inputs!$E$17)/MAX(Inputs!$E$94,1)/12,0)</f>
        <v/>
      </c>
      <c r="K28" s="3">
        <f>IF(AND(Inputs!$E$88&gt;0,K3&lt;=Inputs!$E$88*12),INDEX(Capex!$C$19:$E$19,1,Inputs!$E$17)/MAX(Inputs!$E$88,1)/12,0)+IF(AND(Inputs!$E$89&gt;0,K3&lt;=Inputs!$E$89*12),INDEX(Capex!$C$20:$E$20,1,Inputs!$E$17)/MAX(Inputs!$E$89,1)/12,0)+IF(AND(Inputs!$E$90&gt;0,K3&lt;=Inputs!$E$90*12),INDEX(Capex!$C$21:$E$21,1,Inputs!$E$17)/MAX(Inputs!$E$90,1)/12,0)+IF(AND(Inputs!$E$91&gt;0,K3&lt;=Inputs!$E$91*12),INDEX(Capex!$C$22:$E$22,1,Inputs!$E$17)/MAX(Inputs!$E$91,1)/12,0)+IF(AND(Inputs!$E$92&gt;0,K3&lt;=Inputs!$E$92*12),INDEX(Capex!$C$23:$E$23,1,Inputs!$E$17)/MAX(Inputs!$E$92,1)/12,0)+IF(AND(Inputs!$E$93&gt;0,K3&lt;=Inputs!$E$93*12),INDEX(Capex!$C$24:$E$24,1,Inputs!$E$17)/MAX(Inputs!$E$93,1)/12,0)+IF(AND(Inputs!$E$94&gt;0,K3&lt;=Inputs!$E$94*12),INDEX(Capex!$C$25:$E$25,1,Inputs!$E$17)/MAX(Inputs!$E$94,1)/12,0)</f>
        <v/>
      </c>
      <c r="L28" s="3">
        <f>IF(AND(Inputs!$E$88&gt;0,L3&lt;=Inputs!$E$88*12),INDEX(Capex!$C$19:$E$19,1,Inputs!$E$17)/MAX(Inputs!$E$88,1)/12,0)+IF(AND(Inputs!$E$89&gt;0,L3&lt;=Inputs!$E$89*12),INDEX(Capex!$C$20:$E$20,1,Inputs!$E$17)/MAX(Inputs!$E$89,1)/12,0)+IF(AND(Inputs!$E$90&gt;0,L3&lt;=Inputs!$E$90*12),INDEX(Capex!$C$21:$E$21,1,Inputs!$E$17)/MAX(Inputs!$E$90,1)/12,0)+IF(AND(Inputs!$E$91&gt;0,L3&lt;=Inputs!$E$91*12),INDEX(Capex!$C$22:$E$22,1,Inputs!$E$17)/MAX(Inputs!$E$91,1)/12,0)+IF(AND(Inputs!$E$92&gt;0,L3&lt;=Inputs!$E$92*12),INDEX(Capex!$C$23:$E$23,1,Inputs!$E$17)/MAX(Inputs!$E$92,1)/12,0)+IF(AND(Inputs!$E$93&gt;0,L3&lt;=Inputs!$E$93*12),INDEX(Capex!$C$24:$E$24,1,Inputs!$E$17)/MAX(Inputs!$E$93,1)/12,0)+IF(AND(Inputs!$E$94&gt;0,L3&lt;=Inputs!$E$94*12),INDEX(Capex!$C$25:$E$25,1,Inputs!$E$17)/MAX(Inputs!$E$94,1)/12,0)</f>
        <v/>
      </c>
      <c r="M28" s="3">
        <f>IF(AND(Inputs!$E$88&gt;0,M3&lt;=Inputs!$E$88*12),INDEX(Capex!$C$19:$E$19,1,Inputs!$E$17)/MAX(Inputs!$E$88,1)/12,0)+IF(AND(Inputs!$E$89&gt;0,M3&lt;=Inputs!$E$89*12),INDEX(Capex!$C$20:$E$20,1,Inputs!$E$17)/MAX(Inputs!$E$89,1)/12,0)+IF(AND(Inputs!$E$90&gt;0,M3&lt;=Inputs!$E$90*12),INDEX(Capex!$C$21:$E$21,1,Inputs!$E$17)/MAX(Inputs!$E$90,1)/12,0)+IF(AND(Inputs!$E$91&gt;0,M3&lt;=Inputs!$E$91*12),INDEX(Capex!$C$22:$E$22,1,Inputs!$E$17)/MAX(Inputs!$E$91,1)/12,0)+IF(AND(Inputs!$E$92&gt;0,M3&lt;=Inputs!$E$92*12),INDEX(Capex!$C$23:$E$23,1,Inputs!$E$17)/MAX(Inputs!$E$92,1)/12,0)+IF(AND(Inputs!$E$93&gt;0,M3&lt;=Inputs!$E$93*12),INDEX(Capex!$C$24:$E$24,1,Inputs!$E$17)/MAX(Inputs!$E$93,1)/12,0)+IF(AND(Inputs!$E$94&gt;0,M3&lt;=Inputs!$E$94*12),INDEX(Capex!$C$25:$E$25,1,Inputs!$E$17)/MAX(Inputs!$E$94,1)/12,0)</f>
        <v/>
      </c>
      <c r="N28" s="3">
        <f>IF(AND(Inputs!$E$88&gt;0,N3&lt;=Inputs!$E$88*12),INDEX(Capex!$C$19:$E$19,1,Inputs!$E$17)/MAX(Inputs!$E$88,1)/12,0)+IF(AND(Inputs!$E$89&gt;0,N3&lt;=Inputs!$E$89*12),INDEX(Capex!$C$20:$E$20,1,Inputs!$E$17)/MAX(Inputs!$E$89,1)/12,0)+IF(AND(Inputs!$E$90&gt;0,N3&lt;=Inputs!$E$90*12),INDEX(Capex!$C$21:$E$21,1,Inputs!$E$17)/MAX(Inputs!$E$90,1)/12,0)+IF(AND(Inputs!$E$91&gt;0,N3&lt;=Inputs!$E$91*12),INDEX(Capex!$C$22:$E$22,1,Inputs!$E$17)/MAX(Inputs!$E$91,1)/12,0)+IF(AND(Inputs!$E$92&gt;0,N3&lt;=Inputs!$E$92*12),INDEX(Capex!$C$23:$E$23,1,Inputs!$E$17)/MAX(Inputs!$E$92,1)/12,0)+IF(AND(Inputs!$E$93&gt;0,N3&lt;=Inputs!$E$93*12),INDEX(Capex!$C$24:$E$24,1,Inputs!$E$17)/MAX(Inputs!$E$93,1)/12,0)+IF(AND(Inputs!$E$94&gt;0,N3&lt;=Inputs!$E$94*12),INDEX(Capex!$C$25:$E$25,1,Inputs!$E$17)/MAX(Inputs!$E$94,1)/12,0)</f>
        <v/>
      </c>
      <c r="O28" s="3">
        <f>IF(AND(Inputs!$E$88&gt;0,O3&lt;=Inputs!$E$88*12),INDEX(Capex!$C$19:$E$19,1,Inputs!$E$17)/MAX(Inputs!$E$88,1)/12,0)+IF(AND(Inputs!$E$89&gt;0,O3&lt;=Inputs!$E$89*12),INDEX(Capex!$C$20:$E$20,1,Inputs!$E$17)/MAX(Inputs!$E$89,1)/12,0)+IF(AND(Inputs!$E$90&gt;0,O3&lt;=Inputs!$E$90*12),INDEX(Capex!$C$21:$E$21,1,Inputs!$E$17)/MAX(Inputs!$E$90,1)/12,0)+IF(AND(Inputs!$E$91&gt;0,O3&lt;=Inputs!$E$91*12),INDEX(Capex!$C$22:$E$22,1,Inputs!$E$17)/MAX(Inputs!$E$91,1)/12,0)+IF(AND(Inputs!$E$92&gt;0,O3&lt;=Inputs!$E$92*12),INDEX(Capex!$C$23:$E$23,1,Inputs!$E$17)/MAX(Inputs!$E$92,1)/12,0)+IF(AND(Inputs!$E$93&gt;0,O3&lt;=Inputs!$E$93*12),INDEX(Capex!$C$24:$E$24,1,Inputs!$E$17)/MAX(Inputs!$E$93,1)/12,0)+IF(AND(Inputs!$E$94&gt;0,O3&lt;=Inputs!$E$94*12),INDEX(Capex!$C$25:$E$25,1,Inputs!$E$17)/MAX(Inputs!$E$94,1)/12,0)</f>
        <v/>
      </c>
      <c r="P28" s="3">
        <f>IF(AND(Inputs!$E$88&gt;0,P3&lt;=Inputs!$E$88*12),INDEX(Capex!$C$19:$E$19,1,Inputs!$E$17)/MAX(Inputs!$E$88,1)/12,0)+IF(AND(Inputs!$E$89&gt;0,P3&lt;=Inputs!$E$89*12),INDEX(Capex!$C$20:$E$20,1,Inputs!$E$17)/MAX(Inputs!$E$89,1)/12,0)+IF(AND(Inputs!$E$90&gt;0,P3&lt;=Inputs!$E$90*12),INDEX(Capex!$C$21:$E$21,1,Inputs!$E$17)/MAX(Inputs!$E$90,1)/12,0)+IF(AND(Inputs!$E$91&gt;0,P3&lt;=Inputs!$E$91*12),INDEX(Capex!$C$22:$E$22,1,Inputs!$E$17)/MAX(Inputs!$E$91,1)/12,0)+IF(AND(Inputs!$E$92&gt;0,P3&lt;=Inputs!$E$92*12),INDEX(Capex!$C$23:$E$23,1,Inputs!$E$17)/MAX(Inputs!$E$92,1)/12,0)+IF(AND(Inputs!$E$93&gt;0,P3&lt;=Inputs!$E$93*12),INDEX(Capex!$C$24:$E$24,1,Inputs!$E$17)/MAX(Inputs!$E$93,1)/12,0)+IF(AND(Inputs!$E$94&gt;0,P3&lt;=Inputs!$E$94*12),INDEX(Capex!$C$25:$E$25,1,Inputs!$E$17)/MAX(Inputs!$E$94,1)/12,0)</f>
        <v/>
      </c>
      <c r="Q28" s="3">
        <f>IF(AND(Inputs!$E$88&gt;0,Q3&lt;=Inputs!$E$88*12),INDEX(Capex!$C$19:$E$19,1,Inputs!$E$17)/MAX(Inputs!$E$88,1)/12,0)+IF(AND(Inputs!$E$89&gt;0,Q3&lt;=Inputs!$E$89*12),INDEX(Capex!$C$20:$E$20,1,Inputs!$E$17)/MAX(Inputs!$E$89,1)/12,0)+IF(AND(Inputs!$E$90&gt;0,Q3&lt;=Inputs!$E$90*12),INDEX(Capex!$C$21:$E$21,1,Inputs!$E$17)/MAX(Inputs!$E$90,1)/12,0)+IF(AND(Inputs!$E$91&gt;0,Q3&lt;=Inputs!$E$91*12),INDEX(Capex!$C$22:$E$22,1,Inputs!$E$17)/MAX(Inputs!$E$91,1)/12,0)+IF(AND(Inputs!$E$92&gt;0,Q3&lt;=Inputs!$E$92*12),INDEX(Capex!$C$23:$E$23,1,Inputs!$E$17)/MAX(Inputs!$E$92,1)/12,0)+IF(AND(Inputs!$E$93&gt;0,Q3&lt;=Inputs!$E$93*12),INDEX(Capex!$C$24:$E$24,1,Inputs!$E$17)/MAX(Inputs!$E$93,1)/12,0)+IF(AND(Inputs!$E$94&gt;0,Q3&lt;=Inputs!$E$94*12),INDEX(Capex!$C$25:$E$25,1,Inputs!$E$17)/MAX(Inputs!$E$94,1)/12,0)</f>
        <v/>
      </c>
      <c r="R28" s="3">
        <f>IF(AND(Inputs!$E$88&gt;0,R3&lt;=Inputs!$E$88*12),INDEX(Capex!$C$19:$E$19,1,Inputs!$E$17)/MAX(Inputs!$E$88,1)/12,0)+IF(AND(Inputs!$E$89&gt;0,R3&lt;=Inputs!$E$89*12),INDEX(Capex!$C$20:$E$20,1,Inputs!$E$17)/MAX(Inputs!$E$89,1)/12,0)+IF(AND(Inputs!$E$90&gt;0,R3&lt;=Inputs!$E$90*12),INDEX(Capex!$C$21:$E$21,1,Inputs!$E$17)/MAX(Inputs!$E$90,1)/12,0)+IF(AND(Inputs!$E$91&gt;0,R3&lt;=Inputs!$E$91*12),INDEX(Capex!$C$22:$E$22,1,Inputs!$E$17)/MAX(Inputs!$E$91,1)/12,0)+IF(AND(Inputs!$E$92&gt;0,R3&lt;=Inputs!$E$92*12),INDEX(Capex!$C$23:$E$23,1,Inputs!$E$17)/MAX(Inputs!$E$92,1)/12,0)+IF(AND(Inputs!$E$93&gt;0,R3&lt;=Inputs!$E$93*12),INDEX(Capex!$C$24:$E$24,1,Inputs!$E$17)/MAX(Inputs!$E$93,1)/12,0)+IF(AND(Inputs!$E$94&gt;0,R3&lt;=Inputs!$E$94*12),INDEX(Capex!$C$25:$E$25,1,Inputs!$E$17)/MAX(Inputs!$E$94,1)/12,0)</f>
        <v/>
      </c>
      <c r="S28" s="3">
        <f>IF(AND(Inputs!$E$88&gt;0,S3&lt;=Inputs!$E$88*12),INDEX(Capex!$C$19:$E$19,1,Inputs!$E$17)/MAX(Inputs!$E$88,1)/12,0)+IF(AND(Inputs!$E$89&gt;0,S3&lt;=Inputs!$E$89*12),INDEX(Capex!$C$20:$E$20,1,Inputs!$E$17)/MAX(Inputs!$E$89,1)/12,0)+IF(AND(Inputs!$E$90&gt;0,S3&lt;=Inputs!$E$90*12),INDEX(Capex!$C$21:$E$21,1,Inputs!$E$17)/MAX(Inputs!$E$90,1)/12,0)+IF(AND(Inputs!$E$91&gt;0,S3&lt;=Inputs!$E$91*12),INDEX(Capex!$C$22:$E$22,1,Inputs!$E$17)/MAX(Inputs!$E$91,1)/12,0)+IF(AND(Inputs!$E$92&gt;0,S3&lt;=Inputs!$E$92*12),INDEX(Capex!$C$23:$E$23,1,Inputs!$E$17)/MAX(Inputs!$E$92,1)/12,0)+IF(AND(Inputs!$E$93&gt;0,S3&lt;=Inputs!$E$93*12),INDEX(Capex!$C$24:$E$24,1,Inputs!$E$17)/MAX(Inputs!$E$93,1)/12,0)+IF(AND(Inputs!$E$94&gt;0,S3&lt;=Inputs!$E$94*12),INDEX(Capex!$C$25:$E$25,1,Inputs!$E$17)/MAX(Inputs!$E$94,1)/12,0)</f>
        <v/>
      </c>
      <c r="T28" s="3">
        <f>IF(AND(Inputs!$E$88&gt;0,T3&lt;=Inputs!$E$88*12),INDEX(Capex!$C$19:$E$19,1,Inputs!$E$17)/MAX(Inputs!$E$88,1)/12,0)+IF(AND(Inputs!$E$89&gt;0,T3&lt;=Inputs!$E$89*12),INDEX(Capex!$C$20:$E$20,1,Inputs!$E$17)/MAX(Inputs!$E$89,1)/12,0)+IF(AND(Inputs!$E$90&gt;0,T3&lt;=Inputs!$E$90*12),INDEX(Capex!$C$21:$E$21,1,Inputs!$E$17)/MAX(Inputs!$E$90,1)/12,0)+IF(AND(Inputs!$E$91&gt;0,T3&lt;=Inputs!$E$91*12),INDEX(Capex!$C$22:$E$22,1,Inputs!$E$17)/MAX(Inputs!$E$91,1)/12,0)+IF(AND(Inputs!$E$92&gt;0,T3&lt;=Inputs!$E$92*12),INDEX(Capex!$C$23:$E$23,1,Inputs!$E$17)/MAX(Inputs!$E$92,1)/12,0)+IF(AND(Inputs!$E$93&gt;0,T3&lt;=Inputs!$E$93*12),INDEX(Capex!$C$24:$E$24,1,Inputs!$E$17)/MAX(Inputs!$E$93,1)/12,0)+IF(AND(Inputs!$E$94&gt;0,T3&lt;=Inputs!$E$94*12),INDEX(Capex!$C$25:$E$25,1,Inputs!$E$17)/MAX(Inputs!$E$94,1)/12,0)</f>
        <v/>
      </c>
      <c r="U28" s="3">
        <f>IF(AND(Inputs!$E$88&gt;0,U3&lt;=Inputs!$E$88*12),INDEX(Capex!$C$19:$E$19,1,Inputs!$E$17)/MAX(Inputs!$E$88,1)/12,0)+IF(AND(Inputs!$E$89&gt;0,U3&lt;=Inputs!$E$89*12),INDEX(Capex!$C$20:$E$20,1,Inputs!$E$17)/MAX(Inputs!$E$89,1)/12,0)+IF(AND(Inputs!$E$90&gt;0,U3&lt;=Inputs!$E$90*12),INDEX(Capex!$C$21:$E$21,1,Inputs!$E$17)/MAX(Inputs!$E$90,1)/12,0)+IF(AND(Inputs!$E$91&gt;0,U3&lt;=Inputs!$E$91*12),INDEX(Capex!$C$22:$E$22,1,Inputs!$E$17)/MAX(Inputs!$E$91,1)/12,0)+IF(AND(Inputs!$E$92&gt;0,U3&lt;=Inputs!$E$92*12),INDEX(Capex!$C$23:$E$23,1,Inputs!$E$17)/MAX(Inputs!$E$92,1)/12,0)+IF(AND(Inputs!$E$93&gt;0,U3&lt;=Inputs!$E$93*12),INDEX(Capex!$C$24:$E$24,1,Inputs!$E$17)/MAX(Inputs!$E$93,1)/12,0)+IF(AND(Inputs!$E$94&gt;0,U3&lt;=Inputs!$E$94*12),INDEX(Capex!$C$25:$E$25,1,Inputs!$E$17)/MAX(Inputs!$E$94,1)/12,0)</f>
        <v/>
      </c>
      <c r="V28" s="3">
        <f>IF(AND(Inputs!$E$88&gt;0,V3&lt;=Inputs!$E$88*12),INDEX(Capex!$C$19:$E$19,1,Inputs!$E$17)/MAX(Inputs!$E$88,1)/12,0)+IF(AND(Inputs!$E$89&gt;0,V3&lt;=Inputs!$E$89*12),INDEX(Capex!$C$20:$E$20,1,Inputs!$E$17)/MAX(Inputs!$E$89,1)/12,0)+IF(AND(Inputs!$E$90&gt;0,V3&lt;=Inputs!$E$90*12),INDEX(Capex!$C$21:$E$21,1,Inputs!$E$17)/MAX(Inputs!$E$90,1)/12,0)+IF(AND(Inputs!$E$91&gt;0,V3&lt;=Inputs!$E$91*12),INDEX(Capex!$C$22:$E$22,1,Inputs!$E$17)/MAX(Inputs!$E$91,1)/12,0)+IF(AND(Inputs!$E$92&gt;0,V3&lt;=Inputs!$E$92*12),INDEX(Capex!$C$23:$E$23,1,Inputs!$E$17)/MAX(Inputs!$E$92,1)/12,0)+IF(AND(Inputs!$E$93&gt;0,V3&lt;=Inputs!$E$93*12),INDEX(Capex!$C$24:$E$24,1,Inputs!$E$17)/MAX(Inputs!$E$93,1)/12,0)+IF(AND(Inputs!$E$94&gt;0,V3&lt;=Inputs!$E$94*12),INDEX(Capex!$C$25:$E$25,1,Inputs!$E$17)/MAX(Inputs!$E$94,1)/12,0)</f>
        <v/>
      </c>
      <c r="W28" s="3">
        <f>IF(AND(Inputs!$E$88&gt;0,W3&lt;=Inputs!$E$88*12),INDEX(Capex!$C$19:$E$19,1,Inputs!$E$17)/MAX(Inputs!$E$88,1)/12,0)+IF(AND(Inputs!$E$89&gt;0,W3&lt;=Inputs!$E$89*12),INDEX(Capex!$C$20:$E$20,1,Inputs!$E$17)/MAX(Inputs!$E$89,1)/12,0)+IF(AND(Inputs!$E$90&gt;0,W3&lt;=Inputs!$E$90*12),INDEX(Capex!$C$21:$E$21,1,Inputs!$E$17)/MAX(Inputs!$E$90,1)/12,0)+IF(AND(Inputs!$E$91&gt;0,W3&lt;=Inputs!$E$91*12),INDEX(Capex!$C$22:$E$22,1,Inputs!$E$17)/MAX(Inputs!$E$91,1)/12,0)+IF(AND(Inputs!$E$92&gt;0,W3&lt;=Inputs!$E$92*12),INDEX(Capex!$C$23:$E$23,1,Inputs!$E$17)/MAX(Inputs!$E$92,1)/12,0)+IF(AND(Inputs!$E$93&gt;0,W3&lt;=Inputs!$E$93*12),INDEX(Capex!$C$24:$E$24,1,Inputs!$E$17)/MAX(Inputs!$E$93,1)/12,0)+IF(AND(Inputs!$E$94&gt;0,W3&lt;=Inputs!$E$94*12),INDEX(Capex!$C$25:$E$25,1,Inputs!$E$17)/MAX(Inputs!$E$94,1)/12,0)</f>
        <v/>
      </c>
      <c r="X28" s="3">
        <f>IF(AND(Inputs!$E$88&gt;0,X3&lt;=Inputs!$E$88*12),INDEX(Capex!$C$19:$E$19,1,Inputs!$E$17)/MAX(Inputs!$E$88,1)/12,0)+IF(AND(Inputs!$E$89&gt;0,X3&lt;=Inputs!$E$89*12),INDEX(Capex!$C$20:$E$20,1,Inputs!$E$17)/MAX(Inputs!$E$89,1)/12,0)+IF(AND(Inputs!$E$90&gt;0,X3&lt;=Inputs!$E$90*12),INDEX(Capex!$C$21:$E$21,1,Inputs!$E$17)/MAX(Inputs!$E$90,1)/12,0)+IF(AND(Inputs!$E$91&gt;0,X3&lt;=Inputs!$E$91*12),INDEX(Capex!$C$22:$E$22,1,Inputs!$E$17)/MAX(Inputs!$E$91,1)/12,0)+IF(AND(Inputs!$E$92&gt;0,X3&lt;=Inputs!$E$92*12),INDEX(Capex!$C$23:$E$23,1,Inputs!$E$17)/MAX(Inputs!$E$92,1)/12,0)+IF(AND(Inputs!$E$93&gt;0,X3&lt;=Inputs!$E$93*12),INDEX(Capex!$C$24:$E$24,1,Inputs!$E$17)/MAX(Inputs!$E$93,1)/12,0)+IF(AND(Inputs!$E$94&gt;0,X3&lt;=Inputs!$E$94*12),INDEX(Capex!$C$25:$E$25,1,Inputs!$E$17)/MAX(Inputs!$E$94,1)/12,0)</f>
        <v/>
      </c>
      <c r="Y28" s="3">
        <f>IF(AND(Inputs!$E$88&gt;0,Y3&lt;=Inputs!$E$88*12),INDEX(Capex!$C$19:$E$19,1,Inputs!$E$17)/MAX(Inputs!$E$88,1)/12,0)+IF(AND(Inputs!$E$89&gt;0,Y3&lt;=Inputs!$E$89*12),INDEX(Capex!$C$20:$E$20,1,Inputs!$E$17)/MAX(Inputs!$E$89,1)/12,0)+IF(AND(Inputs!$E$90&gt;0,Y3&lt;=Inputs!$E$90*12),INDEX(Capex!$C$21:$E$21,1,Inputs!$E$17)/MAX(Inputs!$E$90,1)/12,0)+IF(AND(Inputs!$E$91&gt;0,Y3&lt;=Inputs!$E$91*12),INDEX(Capex!$C$22:$E$22,1,Inputs!$E$17)/MAX(Inputs!$E$91,1)/12,0)+IF(AND(Inputs!$E$92&gt;0,Y3&lt;=Inputs!$E$92*12),INDEX(Capex!$C$23:$E$23,1,Inputs!$E$17)/MAX(Inputs!$E$92,1)/12,0)+IF(AND(Inputs!$E$93&gt;0,Y3&lt;=Inputs!$E$93*12),INDEX(Capex!$C$24:$E$24,1,Inputs!$E$17)/MAX(Inputs!$E$93,1)/12,0)+IF(AND(Inputs!$E$94&gt;0,Y3&lt;=Inputs!$E$94*12),INDEX(Capex!$C$25:$E$25,1,Inputs!$E$17)/MAX(Inputs!$E$94,1)/12,0)</f>
        <v/>
      </c>
      <c r="Z28" s="3">
        <f>IF(AND(Inputs!$E$88&gt;0,Z3&lt;=Inputs!$E$88*12),INDEX(Capex!$C$19:$E$19,1,Inputs!$E$17)/MAX(Inputs!$E$88,1)/12,0)+IF(AND(Inputs!$E$89&gt;0,Z3&lt;=Inputs!$E$89*12),INDEX(Capex!$C$20:$E$20,1,Inputs!$E$17)/MAX(Inputs!$E$89,1)/12,0)+IF(AND(Inputs!$E$90&gt;0,Z3&lt;=Inputs!$E$90*12),INDEX(Capex!$C$21:$E$21,1,Inputs!$E$17)/MAX(Inputs!$E$90,1)/12,0)+IF(AND(Inputs!$E$91&gt;0,Z3&lt;=Inputs!$E$91*12),INDEX(Capex!$C$22:$E$22,1,Inputs!$E$17)/MAX(Inputs!$E$91,1)/12,0)+IF(AND(Inputs!$E$92&gt;0,Z3&lt;=Inputs!$E$92*12),INDEX(Capex!$C$23:$E$23,1,Inputs!$E$17)/MAX(Inputs!$E$92,1)/12,0)+IF(AND(Inputs!$E$93&gt;0,Z3&lt;=Inputs!$E$93*12),INDEX(Capex!$C$24:$E$24,1,Inputs!$E$17)/MAX(Inputs!$E$93,1)/12,0)+IF(AND(Inputs!$E$94&gt;0,Z3&lt;=Inputs!$E$94*12),INDEX(Capex!$C$25:$E$25,1,Inputs!$E$17)/MAX(Inputs!$E$94,1)/12,0)</f>
        <v/>
      </c>
      <c r="AA28" s="3">
        <f>IF(AND(Inputs!$E$88&gt;0,AA3&lt;=Inputs!$E$88*12),INDEX(Capex!$C$19:$E$19,1,Inputs!$E$17)/MAX(Inputs!$E$88,1)/12,0)+IF(AND(Inputs!$E$89&gt;0,AA3&lt;=Inputs!$E$89*12),INDEX(Capex!$C$20:$E$20,1,Inputs!$E$17)/MAX(Inputs!$E$89,1)/12,0)+IF(AND(Inputs!$E$90&gt;0,AA3&lt;=Inputs!$E$90*12),INDEX(Capex!$C$21:$E$21,1,Inputs!$E$17)/MAX(Inputs!$E$90,1)/12,0)+IF(AND(Inputs!$E$91&gt;0,AA3&lt;=Inputs!$E$91*12),INDEX(Capex!$C$22:$E$22,1,Inputs!$E$17)/MAX(Inputs!$E$91,1)/12,0)+IF(AND(Inputs!$E$92&gt;0,AA3&lt;=Inputs!$E$92*12),INDEX(Capex!$C$23:$E$23,1,Inputs!$E$17)/MAX(Inputs!$E$92,1)/12,0)+IF(AND(Inputs!$E$93&gt;0,AA3&lt;=Inputs!$E$93*12),INDEX(Capex!$C$24:$E$24,1,Inputs!$E$17)/MAX(Inputs!$E$93,1)/12,0)+IF(AND(Inputs!$E$94&gt;0,AA3&lt;=Inputs!$E$94*12),INDEX(Capex!$C$25:$E$25,1,Inputs!$E$17)/MAX(Inputs!$E$94,1)/12,0)</f>
        <v/>
      </c>
      <c r="AB28" s="3">
        <f>IF(AND(Inputs!$E$88&gt;0,AB3&lt;=Inputs!$E$88*12),INDEX(Capex!$C$19:$E$19,1,Inputs!$E$17)/MAX(Inputs!$E$88,1)/12,0)+IF(AND(Inputs!$E$89&gt;0,AB3&lt;=Inputs!$E$89*12),INDEX(Capex!$C$20:$E$20,1,Inputs!$E$17)/MAX(Inputs!$E$89,1)/12,0)+IF(AND(Inputs!$E$90&gt;0,AB3&lt;=Inputs!$E$90*12),INDEX(Capex!$C$21:$E$21,1,Inputs!$E$17)/MAX(Inputs!$E$90,1)/12,0)+IF(AND(Inputs!$E$91&gt;0,AB3&lt;=Inputs!$E$91*12),INDEX(Capex!$C$22:$E$22,1,Inputs!$E$17)/MAX(Inputs!$E$91,1)/12,0)+IF(AND(Inputs!$E$92&gt;0,AB3&lt;=Inputs!$E$92*12),INDEX(Capex!$C$23:$E$23,1,Inputs!$E$17)/MAX(Inputs!$E$92,1)/12,0)+IF(AND(Inputs!$E$93&gt;0,AB3&lt;=Inputs!$E$93*12),INDEX(Capex!$C$24:$E$24,1,Inputs!$E$17)/MAX(Inputs!$E$93,1)/12,0)+IF(AND(Inputs!$E$94&gt;0,AB3&lt;=Inputs!$E$94*12),INDEX(Capex!$C$25:$E$25,1,Inputs!$E$17)/MAX(Inputs!$E$94,1)/12,0)</f>
        <v/>
      </c>
      <c r="AC28" s="3">
        <f>IF(AND(Inputs!$E$88&gt;0,AC3&lt;=Inputs!$E$88*12),INDEX(Capex!$C$19:$E$19,1,Inputs!$E$17)/MAX(Inputs!$E$88,1)/12,0)+IF(AND(Inputs!$E$89&gt;0,AC3&lt;=Inputs!$E$89*12),INDEX(Capex!$C$20:$E$20,1,Inputs!$E$17)/MAX(Inputs!$E$89,1)/12,0)+IF(AND(Inputs!$E$90&gt;0,AC3&lt;=Inputs!$E$90*12),INDEX(Capex!$C$21:$E$21,1,Inputs!$E$17)/MAX(Inputs!$E$90,1)/12,0)+IF(AND(Inputs!$E$91&gt;0,AC3&lt;=Inputs!$E$91*12),INDEX(Capex!$C$22:$E$22,1,Inputs!$E$17)/MAX(Inputs!$E$91,1)/12,0)+IF(AND(Inputs!$E$92&gt;0,AC3&lt;=Inputs!$E$92*12),INDEX(Capex!$C$23:$E$23,1,Inputs!$E$17)/MAX(Inputs!$E$92,1)/12,0)+IF(AND(Inputs!$E$93&gt;0,AC3&lt;=Inputs!$E$93*12),INDEX(Capex!$C$24:$E$24,1,Inputs!$E$17)/MAX(Inputs!$E$93,1)/12,0)+IF(AND(Inputs!$E$94&gt;0,AC3&lt;=Inputs!$E$94*12),INDEX(Capex!$C$25:$E$25,1,Inputs!$E$17)/MAX(Inputs!$E$94,1)/12,0)</f>
        <v/>
      </c>
      <c r="AD28" s="3">
        <f>IF(AND(Inputs!$E$88&gt;0,AD3&lt;=Inputs!$E$88*12),INDEX(Capex!$C$19:$E$19,1,Inputs!$E$17)/MAX(Inputs!$E$88,1)/12,0)+IF(AND(Inputs!$E$89&gt;0,AD3&lt;=Inputs!$E$89*12),INDEX(Capex!$C$20:$E$20,1,Inputs!$E$17)/MAX(Inputs!$E$89,1)/12,0)+IF(AND(Inputs!$E$90&gt;0,AD3&lt;=Inputs!$E$90*12),INDEX(Capex!$C$21:$E$21,1,Inputs!$E$17)/MAX(Inputs!$E$90,1)/12,0)+IF(AND(Inputs!$E$91&gt;0,AD3&lt;=Inputs!$E$91*12),INDEX(Capex!$C$22:$E$22,1,Inputs!$E$17)/MAX(Inputs!$E$91,1)/12,0)+IF(AND(Inputs!$E$92&gt;0,AD3&lt;=Inputs!$E$92*12),INDEX(Capex!$C$23:$E$23,1,Inputs!$E$17)/MAX(Inputs!$E$92,1)/12,0)+IF(AND(Inputs!$E$93&gt;0,AD3&lt;=Inputs!$E$93*12),INDEX(Capex!$C$24:$E$24,1,Inputs!$E$17)/MAX(Inputs!$E$93,1)/12,0)+IF(AND(Inputs!$E$94&gt;0,AD3&lt;=Inputs!$E$94*12),INDEX(Capex!$C$25:$E$25,1,Inputs!$E$17)/MAX(Inputs!$E$94,1)/12,0)</f>
        <v/>
      </c>
      <c r="AE28" s="3">
        <f>IF(AND(Inputs!$E$88&gt;0,AE3&lt;=Inputs!$E$88*12),INDEX(Capex!$C$19:$E$19,1,Inputs!$E$17)/MAX(Inputs!$E$88,1)/12,0)+IF(AND(Inputs!$E$89&gt;0,AE3&lt;=Inputs!$E$89*12),INDEX(Capex!$C$20:$E$20,1,Inputs!$E$17)/MAX(Inputs!$E$89,1)/12,0)+IF(AND(Inputs!$E$90&gt;0,AE3&lt;=Inputs!$E$90*12),INDEX(Capex!$C$21:$E$21,1,Inputs!$E$17)/MAX(Inputs!$E$90,1)/12,0)+IF(AND(Inputs!$E$91&gt;0,AE3&lt;=Inputs!$E$91*12),INDEX(Capex!$C$22:$E$22,1,Inputs!$E$17)/MAX(Inputs!$E$91,1)/12,0)+IF(AND(Inputs!$E$92&gt;0,AE3&lt;=Inputs!$E$92*12),INDEX(Capex!$C$23:$E$23,1,Inputs!$E$17)/MAX(Inputs!$E$92,1)/12,0)+IF(AND(Inputs!$E$93&gt;0,AE3&lt;=Inputs!$E$93*12),INDEX(Capex!$C$24:$E$24,1,Inputs!$E$17)/MAX(Inputs!$E$93,1)/12,0)+IF(AND(Inputs!$E$94&gt;0,AE3&lt;=Inputs!$E$94*12),INDEX(Capex!$C$25:$E$25,1,Inputs!$E$17)/MAX(Inputs!$E$94,1)/12,0)</f>
        <v/>
      </c>
      <c r="AF28" s="3">
        <f>IF(AND(Inputs!$E$88&gt;0,AF3&lt;=Inputs!$E$88*12),INDEX(Capex!$C$19:$E$19,1,Inputs!$E$17)/MAX(Inputs!$E$88,1)/12,0)+IF(AND(Inputs!$E$89&gt;0,AF3&lt;=Inputs!$E$89*12),INDEX(Capex!$C$20:$E$20,1,Inputs!$E$17)/MAX(Inputs!$E$89,1)/12,0)+IF(AND(Inputs!$E$90&gt;0,AF3&lt;=Inputs!$E$90*12),INDEX(Capex!$C$21:$E$21,1,Inputs!$E$17)/MAX(Inputs!$E$90,1)/12,0)+IF(AND(Inputs!$E$91&gt;0,AF3&lt;=Inputs!$E$91*12),INDEX(Capex!$C$22:$E$22,1,Inputs!$E$17)/MAX(Inputs!$E$91,1)/12,0)+IF(AND(Inputs!$E$92&gt;0,AF3&lt;=Inputs!$E$92*12),INDEX(Capex!$C$23:$E$23,1,Inputs!$E$17)/MAX(Inputs!$E$92,1)/12,0)+IF(AND(Inputs!$E$93&gt;0,AF3&lt;=Inputs!$E$93*12),INDEX(Capex!$C$24:$E$24,1,Inputs!$E$17)/MAX(Inputs!$E$93,1)/12,0)+IF(AND(Inputs!$E$94&gt;0,AF3&lt;=Inputs!$E$94*12),INDEX(Capex!$C$25:$E$25,1,Inputs!$E$17)/MAX(Inputs!$E$94,1)/12,0)</f>
        <v/>
      </c>
      <c r="AG28" s="3">
        <f>IF(AND(Inputs!$E$88&gt;0,AG3&lt;=Inputs!$E$88*12),INDEX(Capex!$C$19:$E$19,1,Inputs!$E$17)/MAX(Inputs!$E$88,1)/12,0)+IF(AND(Inputs!$E$89&gt;0,AG3&lt;=Inputs!$E$89*12),INDEX(Capex!$C$20:$E$20,1,Inputs!$E$17)/MAX(Inputs!$E$89,1)/12,0)+IF(AND(Inputs!$E$90&gt;0,AG3&lt;=Inputs!$E$90*12),INDEX(Capex!$C$21:$E$21,1,Inputs!$E$17)/MAX(Inputs!$E$90,1)/12,0)+IF(AND(Inputs!$E$91&gt;0,AG3&lt;=Inputs!$E$91*12),INDEX(Capex!$C$22:$E$22,1,Inputs!$E$17)/MAX(Inputs!$E$91,1)/12,0)+IF(AND(Inputs!$E$92&gt;0,AG3&lt;=Inputs!$E$92*12),INDEX(Capex!$C$23:$E$23,1,Inputs!$E$17)/MAX(Inputs!$E$92,1)/12,0)+IF(AND(Inputs!$E$93&gt;0,AG3&lt;=Inputs!$E$93*12),INDEX(Capex!$C$24:$E$24,1,Inputs!$E$17)/MAX(Inputs!$E$93,1)/12,0)+IF(AND(Inputs!$E$94&gt;0,AG3&lt;=Inputs!$E$94*12),INDEX(Capex!$C$25:$E$25,1,Inputs!$E$17)/MAX(Inputs!$E$94,1)/12,0)</f>
        <v/>
      </c>
      <c r="AH28" s="3">
        <f>IF(AND(Inputs!$E$88&gt;0,AH3&lt;=Inputs!$E$88*12),INDEX(Capex!$C$19:$E$19,1,Inputs!$E$17)/MAX(Inputs!$E$88,1)/12,0)+IF(AND(Inputs!$E$89&gt;0,AH3&lt;=Inputs!$E$89*12),INDEX(Capex!$C$20:$E$20,1,Inputs!$E$17)/MAX(Inputs!$E$89,1)/12,0)+IF(AND(Inputs!$E$90&gt;0,AH3&lt;=Inputs!$E$90*12),INDEX(Capex!$C$21:$E$21,1,Inputs!$E$17)/MAX(Inputs!$E$90,1)/12,0)+IF(AND(Inputs!$E$91&gt;0,AH3&lt;=Inputs!$E$91*12),INDEX(Capex!$C$22:$E$22,1,Inputs!$E$17)/MAX(Inputs!$E$91,1)/12,0)+IF(AND(Inputs!$E$92&gt;0,AH3&lt;=Inputs!$E$92*12),INDEX(Capex!$C$23:$E$23,1,Inputs!$E$17)/MAX(Inputs!$E$92,1)/12,0)+IF(AND(Inputs!$E$93&gt;0,AH3&lt;=Inputs!$E$93*12),INDEX(Capex!$C$24:$E$24,1,Inputs!$E$17)/MAX(Inputs!$E$93,1)/12,0)+IF(AND(Inputs!$E$94&gt;0,AH3&lt;=Inputs!$E$94*12),INDEX(Capex!$C$25:$E$25,1,Inputs!$E$17)/MAX(Inputs!$E$94,1)/12,0)</f>
        <v/>
      </c>
      <c r="AI28" s="3">
        <f>IF(AND(Inputs!$E$88&gt;0,AI3&lt;=Inputs!$E$88*12),INDEX(Capex!$C$19:$E$19,1,Inputs!$E$17)/MAX(Inputs!$E$88,1)/12,0)+IF(AND(Inputs!$E$89&gt;0,AI3&lt;=Inputs!$E$89*12),INDEX(Capex!$C$20:$E$20,1,Inputs!$E$17)/MAX(Inputs!$E$89,1)/12,0)+IF(AND(Inputs!$E$90&gt;0,AI3&lt;=Inputs!$E$90*12),INDEX(Capex!$C$21:$E$21,1,Inputs!$E$17)/MAX(Inputs!$E$90,1)/12,0)+IF(AND(Inputs!$E$91&gt;0,AI3&lt;=Inputs!$E$91*12),INDEX(Capex!$C$22:$E$22,1,Inputs!$E$17)/MAX(Inputs!$E$91,1)/12,0)+IF(AND(Inputs!$E$92&gt;0,AI3&lt;=Inputs!$E$92*12),INDEX(Capex!$C$23:$E$23,1,Inputs!$E$17)/MAX(Inputs!$E$92,1)/12,0)+IF(AND(Inputs!$E$93&gt;0,AI3&lt;=Inputs!$E$93*12),INDEX(Capex!$C$24:$E$24,1,Inputs!$E$17)/MAX(Inputs!$E$93,1)/12,0)+IF(AND(Inputs!$E$94&gt;0,AI3&lt;=Inputs!$E$94*12),INDEX(Capex!$C$25:$E$25,1,Inputs!$E$17)/MAX(Inputs!$E$94,1)/12,0)</f>
        <v/>
      </c>
      <c r="AJ28" s="3">
        <f>IF(AND(Inputs!$E$88&gt;0,AJ3&lt;=Inputs!$E$88*12),INDEX(Capex!$C$19:$E$19,1,Inputs!$E$17)/MAX(Inputs!$E$88,1)/12,0)+IF(AND(Inputs!$E$89&gt;0,AJ3&lt;=Inputs!$E$89*12),INDEX(Capex!$C$20:$E$20,1,Inputs!$E$17)/MAX(Inputs!$E$89,1)/12,0)+IF(AND(Inputs!$E$90&gt;0,AJ3&lt;=Inputs!$E$90*12),INDEX(Capex!$C$21:$E$21,1,Inputs!$E$17)/MAX(Inputs!$E$90,1)/12,0)+IF(AND(Inputs!$E$91&gt;0,AJ3&lt;=Inputs!$E$91*12),INDEX(Capex!$C$22:$E$22,1,Inputs!$E$17)/MAX(Inputs!$E$91,1)/12,0)+IF(AND(Inputs!$E$92&gt;0,AJ3&lt;=Inputs!$E$92*12),INDEX(Capex!$C$23:$E$23,1,Inputs!$E$17)/MAX(Inputs!$E$92,1)/12,0)+IF(AND(Inputs!$E$93&gt;0,AJ3&lt;=Inputs!$E$93*12),INDEX(Capex!$C$24:$E$24,1,Inputs!$E$17)/MAX(Inputs!$E$93,1)/12,0)+IF(AND(Inputs!$E$94&gt;0,AJ3&lt;=Inputs!$E$94*12),INDEX(Capex!$C$25:$E$25,1,Inputs!$E$17)/MAX(Inputs!$E$94,1)/12,0)</f>
        <v/>
      </c>
      <c r="AK28" s="3">
        <f>IF(AND(Inputs!$E$88&gt;0,AK3&lt;=Inputs!$E$88*12),INDEX(Capex!$C$19:$E$19,1,Inputs!$E$17)/MAX(Inputs!$E$88,1)/12,0)+IF(AND(Inputs!$E$89&gt;0,AK3&lt;=Inputs!$E$89*12),INDEX(Capex!$C$20:$E$20,1,Inputs!$E$17)/MAX(Inputs!$E$89,1)/12,0)+IF(AND(Inputs!$E$90&gt;0,AK3&lt;=Inputs!$E$90*12),INDEX(Capex!$C$21:$E$21,1,Inputs!$E$17)/MAX(Inputs!$E$90,1)/12,0)+IF(AND(Inputs!$E$91&gt;0,AK3&lt;=Inputs!$E$91*12),INDEX(Capex!$C$22:$E$22,1,Inputs!$E$17)/MAX(Inputs!$E$91,1)/12,0)+IF(AND(Inputs!$E$92&gt;0,AK3&lt;=Inputs!$E$92*12),INDEX(Capex!$C$23:$E$23,1,Inputs!$E$17)/MAX(Inputs!$E$92,1)/12,0)+IF(AND(Inputs!$E$93&gt;0,AK3&lt;=Inputs!$E$93*12),INDEX(Capex!$C$24:$E$24,1,Inputs!$E$17)/MAX(Inputs!$E$93,1)/12,0)+IF(AND(Inputs!$E$94&gt;0,AK3&lt;=Inputs!$E$94*12),INDEX(Capex!$C$25:$E$25,1,Inputs!$E$17)/MAX(Inputs!$E$94,1)/12,0)</f>
        <v/>
      </c>
      <c r="AL28" s="3">
        <f>IF(AND(Inputs!$E$88&gt;0,AL3&lt;=Inputs!$E$88*12),INDEX(Capex!$C$19:$E$19,1,Inputs!$E$17)/MAX(Inputs!$E$88,1)/12,0)+IF(AND(Inputs!$E$89&gt;0,AL3&lt;=Inputs!$E$89*12),INDEX(Capex!$C$20:$E$20,1,Inputs!$E$17)/MAX(Inputs!$E$89,1)/12,0)+IF(AND(Inputs!$E$90&gt;0,AL3&lt;=Inputs!$E$90*12),INDEX(Capex!$C$21:$E$21,1,Inputs!$E$17)/MAX(Inputs!$E$90,1)/12,0)+IF(AND(Inputs!$E$91&gt;0,AL3&lt;=Inputs!$E$91*12),INDEX(Capex!$C$22:$E$22,1,Inputs!$E$17)/MAX(Inputs!$E$91,1)/12,0)+IF(AND(Inputs!$E$92&gt;0,AL3&lt;=Inputs!$E$92*12),INDEX(Capex!$C$23:$E$23,1,Inputs!$E$17)/MAX(Inputs!$E$92,1)/12,0)+IF(AND(Inputs!$E$93&gt;0,AL3&lt;=Inputs!$E$93*12),INDEX(Capex!$C$24:$E$24,1,Inputs!$E$17)/MAX(Inputs!$E$93,1)/12,0)+IF(AND(Inputs!$E$94&gt;0,AL3&lt;=Inputs!$E$94*12),INDEX(Capex!$C$25:$E$25,1,Inputs!$E$17)/MAX(Inputs!$E$94,1)/12,0)</f>
        <v/>
      </c>
      <c r="AM28" s="3">
        <f>IF(AND(Inputs!$E$88&gt;0,AM3&lt;=Inputs!$E$88*12),INDEX(Capex!$C$19:$E$19,1,Inputs!$E$17)/MAX(Inputs!$E$88,1)/12,0)+IF(AND(Inputs!$E$89&gt;0,AM3&lt;=Inputs!$E$89*12),INDEX(Capex!$C$20:$E$20,1,Inputs!$E$17)/MAX(Inputs!$E$89,1)/12,0)+IF(AND(Inputs!$E$90&gt;0,AM3&lt;=Inputs!$E$90*12),INDEX(Capex!$C$21:$E$21,1,Inputs!$E$17)/MAX(Inputs!$E$90,1)/12,0)+IF(AND(Inputs!$E$91&gt;0,AM3&lt;=Inputs!$E$91*12),INDEX(Capex!$C$22:$E$22,1,Inputs!$E$17)/MAX(Inputs!$E$91,1)/12,0)+IF(AND(Inputs!$E$92&gt;0,AM3&lt;=Inputs!$E$92*12),INDEX(Capex!$C$23:$E$23,1,Inputs!$E$17)/MAX(Inputs!$E$92,1)/12,0)+IF(AND(Inputs!$E$93&gt;0,AM3&lt;=Inputs!$E$93*12),INDEX(Capex!$C$24:$E$24,1,Inputs!$E$17)/MAX(Inputs!$E$93,1)/12,0)+IF(AND(Inputs!$E$94&gt;0,AM3&lt;=Inputs!$E$94*12),INDEX(Capex!$C$25:$E$25,1,Inputs!$E$17)/MAX(Inputs!$E$94,1)/12,0)</f>
        <v/>
      </c>
      <c r="AN28" s="3">
        <f>IF(AND(Inputs!$E$88&gt;0,AN3&lt;=Inputs!$E$88*12),INDEX(Capex!$C$19:$E$19,1,Inputs!$E$17)/MAX(Inputs!$E$88,1)/12,0)+IF(AND(Inputs!$E$89&gt;0,AN3&lt;=Inputs!$E$89*12),INDEX(Capex!$C$20:$E$20,1,Inputs!$E$17)/MAX(Inputs!$E$89,1)/12,0)+IF(AND(Inputs!$E$90&gt;0,AN3&lt;=Inputs!$E$90*12),INDEX(Capex!$C$21:$E$21,1,Inputs!$E$17)/MAX(Inputs!$E$90,1)/12,0)+IF(AND(Inputs!$E$91&gt;0,AN3&lt;=Inputs!$E$91*12),INDEX(Capex!$C$22:$E$22,1,Inputs!$E$17)/MAX(Inputs!$E$91,1)/12,0)+IF(AND(Inputs!$E$92&gt;0,AN3&lt;=Inputs!$E$92*12),INDEX(Capex!$C$23:$E$23,1,Inputs!$E$17)/MAX(Inputs!$E$92,1)/12,0)+IF(AND(Inputs!$E$93&gt;0,AN3&lt;=Inputs!$E$93*12),INDEX(Capex!$C$24:$E$24,1,Inputs!$E$17)/MAX(Inputs!$E$93,1)/12,0)+IF(AND(Inputs!$E$94&gt;0,AN3&lt;=Inputs!$E$94*12),INDEX(Capex!$C$25:$E$25,1,Inputs!$E$17)/MAX(Inputs!$E$94,1)/12,0)</f>
        <v/>
      </c>
      <c r="AO28" s="3">
        <f>IF(AND(Inputs!$E$88&gt;0,AO3&lt;=Inputs!$E$88*12),INDEX(Capex!$C$19:$E$19,1,Inputs!$E$17)/MAX(Inputs!$E$88,1)/12,0)+IF(AND(Inputs!$E$89&gt;0,AO3&lt;=Inputs!$E$89*12),INDEX(Capex!$C$20:$E$20,1,Inputs!$E$17)/MAX(Inputs!$E$89,1)/12,0)+IF(AND(Inputs!$E$90&gt;0,AO3&lt;=Inputs!$E$90*12),INDEX(Capex!$C$21:$E$21,1,Inputs!$E$17)/MAX(Inputs!$E$90,1)/12,0)+IF(AND(Inputs!$E$91&gt;0,AO3&lt;=Inputs!$E$91*12),INDEX(Capex!$C$22:$E$22,1,Inputs!$E$17)/MAX(Inputs!$E$91,1)/12,0)+IF(AND(Inputs!$E$92&gt;0,AO3&lt;=Inputs!$E$92*12),INDEX(Capex!$C$23:$E$23,1,Inputs!$E$17)/MAX(Inputs!$E$92,1)/12,0)+IF(AND(Inputs!$E$93&gt;0,AO3&lt;=Inputs!$E$93*12),INDEX(Capex!$C$24:$E$24,1,Inputs!$E$17)/MAX(Inputs!$E$93,1)/12,0)+IF(AND(Inputs!$E$94&gt;0,AO3&lt;=Inputs!$E$94*12),INDEX(Capex!$C$25:$E$25,1,Inputs!$E$17)/MAX(Inputs!$E$94,1)/12,0)</f>
        <v/>
      </c>
      <c r="AP28" s="3">
        <f>IF(AND(Inputs!$E$88&gt;0,AP3&lt;=Inputs!$E$88*12),INDEX(Capex!$C$19:$E$19,1,Inputs!$E$17)/MAX(Inputs!$E$88,1)/12,0)+IF(AND(Inputs!$E$89&gt;0,AP3&lt;=Inputs!$E$89*12),INDEX(Capex!$C$20:$E$20,1,Inputs!$E$17)/MAX(Inputs!$E$89,1)/12,0)+IF(AND(Inputs!$E$90&gt;0,AP3&lt;=Inputs!$E$90*12),INDEX(Capex!$C$21:$E$21,1,Inputs!$E$17)/MAX(Inputs!$E$90,1)/12,0)+IF(AND(Inputs!$E$91&gt;0,AP3&lt;=Inputs!$E$91*12),INDEX(Capex!$C$22:$E$22,1,Inputs!$E$17)/MAX(Inputs!$E$91,1)/12,0)+IF(AND(Inputs!$E$92&gt;0,AP3&lt;=Inputs!$E$92*12),INDEX(Capex!$C$23:$E$23,1,Inputs!$E$17)/MAX(Inputs!$E$92,1)/12,0)+IF(AND(Inputs!$E$93&gt;0,AP3&lt;=Inputs!$E$93*12),INDEX(Capex!$C$24:$E$24,1,Inputs!$E$17)/MAX(Inputs!$E$93,1)/12,0)+IF(AND(Inputs!$E$94&gt;0,AP3&lt;=Inputs!$E$94*12),INDEX(Capex!$C$25:$E$25,1,Inputs!$E$17)/MAX(Inputs!$E$94,1)/12,0)</f>
        <v/>
      </c>
      <c r="AQ28" s="3">
        <f>IF(AND(Inputs!$E$88&gt;0,AQ3&lt;=Inputs!$E$88*12),INDEX(Capex!$C$19:$E$19,1,Inputs!$E$17)/MAX(Inputs!$E$88,1)/12,0)+IF(AND(Inputs!$E$89&gt;0,AQ3&lt;=Inputs!$E$89*12),INDEX(Capex!$C$20:$E$20,1,Inputs!$E$17)/MAX(Inputs!$E$89,1)/12,0)+IF(AND(Inputs!$E$90&gt;0,AQ3&lt;=Inputs!$E$90*12),INDEX(Capex!$C$21:$E$21,1,Inputs!$E$17)/MAX(Inputs!$E$90,1)/12,0)+IF(AND(Inputs!$E$91&gt;0,AQ3&lt;=Inputs!$E$91*12),INDEX(Capex!$C$22:$E$22,1,Inputs!$E$17)/MAX(Inputs!$E$91,1)/12,0)+IF(AND(Inputs!$E$92&gt;0,AQ3&lt;=Inputs!$E$92*12),INDEX(Capex!$C$23:$E$23,1,Inputs!$E$17)/MAX(Inputs!$E$92,1)/12,0)+IF(AND(Inputs!$E$93&gt;0,AQ3&lt;=Inputs!$E$93*12),INDEX(Capex!$C$24:$E$24,1,Inputs!$E$17)/MAX(Inputs!$E$93,1)/12,0)+IF(AND(Inputs!$E$94&gt;0,AQ3&lt;=Inputs!$E$94*12),INDEX(Capex!$C$25:$E$25,1,Inputs!$E$17)/MAX(Inputs!$E$94,1)/12,0)</f>
        <v/>
      </c>
      <c r="AR28" s="3">
        <f>IF(AND(Inputs!$E$88&gt;0,AR3&lt;=Inputs!$E$88*12),INDEX(Capex!$C$19:$E$19,1,Inputs!$E$17)/MAX(Inputs!$E$88,1)/12,0)+IF(AND(Inputs!$E$89&gt;0,AR3&lt;=Inputs!$E$89*12),INDEX(Capex!$C$20:$E$20,1,Inputs!$E$17)/MAX(Inputs!$E$89,1)/12,0)+IF(AND(Inputs!$E$90&gt;0,AR3&lt;=Inputs!$E$90*12),INDEX(Capex!$C$21:$E$21,1,Inputs!$E$17)/MAX(Inputs!$E$90,1)/12,0)+IF(AND(Inputs!$E$91&gt;0,AR3&lt;=Inputs!$E$91*12),INDEX(Capex!$C$22:$E$22,1,Inputs!$E$17)/MAX(Inputs!$E$91,1)/12,0)+IF(AND(Inputs!$E$92&gt;0,AR3&lt;=Inputs!$E$92*12),INDEX(Capex!$C$23:$E$23,1,Inputs!$E$17)/MAX(Inputs!$E$92,1)/12,0)+IF(AND(Inputs!$E$93&gt;0,AR3&lt;=Inputs!$E$93*12),INDEX(Capex!$C$24:$E$24,1,Inputs!$E$17)/MAX(Inputs!$E$93,1)/12,0)+IF(AND(Inputs!$E$94&gt;0,AR3&lt;=Inputs!$E$94*12),INDEX(Capex!$C$25:$E$25,1,Inputs!$E$17)/MAX(Inputs!$E$94,1)/12,0)</f>
        <v/>
      </c>
      <c r="AS28" s="3">
        <f>IF(AND(Inputs!$E$88&gt;0,AS3&lt;=Inputs!$E$88*12),INDEX(Capex!$C$19:$E$19,1,Inputs!$E$17)/MAX(Inputs!$E$88,1)/12,0)+IF(AND(Inputs!$E$89&gt;0,AS3&lt;=Inputs!$E$89*12),INDEX(Capex!$C$20:$E$20,1,Inputs!$E$17)/MAX(Inputs!$E$89,1)/12,0)+IF(AND(Inputs!$E$90&gt;0,AS3&lt;=Inputs!$E$90*12),INDEX(Capex!$C$21:$E$21,1,Inputs!$E$17)/MAX(Inputs!$E$90,1)/12,0)+IF(AND(Inputs!$E$91&gt;0,AS3&lt;=Inputs!$E$91*12),INDEX(Capex!$C$22:$E$22,1,Inputs!$E$17)/MAX(Inputs!$E$91,1)/12,0)+IF(AND(Inputs!$E$92&gt;0,AS3&lt;=Inputs!$E$92*12),INDEX(Capex!$C$23:$E$23,1,Inputs!$E$17)/MAX(Inputs!$E$92,1)/12,0)+IF(AND(Inputs!$E$93&gt;0,AS3&lt;=Inputs!$E$93*12),INDEX(Capex!$C$24:$E$24,1,Inputs!$E$17)/MAX(Inputs!$E$93,1)/12,0)+IF(AND(Inputs!$E$94&gt;0,AS3&lt;=Inputs!$E$94*12),INDEX(Capex!$C$25:$E$25,1,Inputs!$E$17)/MAX(Inputs!$E$94,1)/12,0)</f>
        <v/>
      </c>
      <c r="AT28" s="3">
        <f>IF(AND(Inputs!$E$88&gt;0,AT3&lt;=Inputs!$E$88*12),INDEX(Capex!$C$19:$E$19,1,Inputs!$E$17)/MAX(Inputs!$E$88,1)/12,0)+IF(AND(Inputs!$E$89&gt;0,AT3&lt;=Inputs!$E$89*12),INDEX(Capex!$C$20:$E$20,1,Inputs!$E$17)/MAX(Inputs!$E$89,1)/12,0)+IF(AND(Inputs!$E$90&gt;0,AT3&lt;=Inputs!$E$90*12),INDEX(Capex!$C$21:$E$21,1,Inputs!$E$17)/MAX(Inputs!$E$90,1)/12,0)+IF(AND(Inputs!$E$91&gt;0,AT3&lt;=Inputs!$E$91*12),INDEX(Capex!$C$22:$E$22,1,Inputs!$E$17)/MAX(Inputs!$E$91,1)/12,0)+IF(AND(Inputs!$E$92&gt;0,AT3&lt;=Inputs!$E$92*12),INDEX(Capex!$C$23:$E$23,1,Inputs!$E$17)/MAX(Inputs!$E$92,1)/12,0)+IF(AND(Inputs!$E$93&gt;0,AT3&lt;=Inputs!$E$93*12),INDEX(Capex!$C$24:$E$24,1,Inputs!$E$17)/MAX(Inputs!$E$93,1)/12,0)+IF(AND(Inputs!$E$94&gt;0,AT3&lt;=Inputs!$E$94*12),INDEX(Capex!$C$25:$E$25,1,Inputs!$E$17)/MAX(Inputs!$E$94,1)/12,0)</f>
        <v/>
      </c>
      <c r="AU28" s="3">
        <f>IF(AND(Inputs!$E$88&gt;0,AU3&lt;=Inputs!$E$88*12),INDEX(Capex!$C$19:$E$19,1,Inputs!$E$17)/MAX(Inputs!$E$88,1)/12,0)+IF(AND(Inputs!$E$89&gt;0,AU3&lt;=Inputs!$E$89*12),INDEX(Capex!$C$20:$E$20,1,Inputs!$E$17)/MAX(Inputs!$E$89,1)/12,0)+IF(AND(Inputs!$E$90&gt;0,AU3&lt;=Inputs!$E$90*12),INDEX(Capex!$C$21:$E$21,1,Inputs!$E$17)/MAX(Inputs!$E$90,1)/12,0)+IF(AND(Inputs!$E$91&gt;0,AU3&lt;=Inputs!$E$91*12),INDEX(Capex!$C$22:$E$22,1,Inputs!$E$17)/MAX(Inputs!$E$91,1)/12,0)+IF(AND(Inputs!$E$92&gt;0,AU3&lt;=Inputs!$E$92*12),INDEX(Capex!$C$23:$E$23,1,Inputs!$E$17)/MAX(Inputs!$E$92,1)/12,0)+IF(AND(Inputs!$E$93&gt;0,AU3&lt;=Inputs!$E$93*12),INDEX(Capex!$C$24:$E$24,1,Inputs!$E$17)/MAX(Inputs!$E$93,1)/12,0)+IF(AND(Inputs!$E$94&gt;0,AU3&lt;=Inputs!$E$94*12),INDEX(Capex!$C$25:$E$25,1,Inputs!$E$17)/MAX(Inputs!$E$94,1)/12,0)</f>
        <v/>
      </c>
      <c r="AV28" s="3">
        <f>IF(AND(Inputs!$E$88&gt;0,AV3&lt;=Inputs!$E$88*12),INDEX(Capex!$C$19:$E$19,1,Inputs!$E$17)/MAX(Inputs!$E$88,1)/12,0)+IF(AND(Inputs!$E$89&gt;0,AV3&lt;=Inputs!$E$89*12),INDEX(Capex!$C$20:$E$20,1,Inputs!$E$17)/MAX(Inputs!$E$89,1)/12,0)+IF(AND(Inputs!$E$90&gt;0,AV3&lt;=Inputs!$E$90*12),INDEX(Capex!$C$21:$E$21,1,Inputs!$E$17)/MAX(Inputs!$E$90,1)/12,0)+IF(AND(Inputs!$E$91&gt;0,AV3&lt;=Inputs!$E$91*12),INDEX(Capex!$C$22:$E$22,1,Inputs!$E$17)/MAX(Inputs!$E$91,1)/12,0)+IF(AND(Inputs!$E$92&gt;0,AV3&lt;=Inputs!$E$92*12),INDEX(Capex!$C$23:$E$23,1,Inputs!$E$17)/MAX(Inputs!$E$92,1)/12,0)+IF(AND(Inputs!$E$93&gt;0,AV3&lt;=Inputs!$E$93*12),INDEX(Capex!$C$24:$E$24,1,Inputs!$E$17)/MAX(Inputs!$E$93,1)/12,0)+IF(AND(Inputs!$E$94&gt;0,AV3&lt;=Inputs!$E$94*12),INDEX(Capex!$C$25:$E$25,1,Inputs!$E$17)/MAX(Inputs!$E$94,1)/12,0)</f>
        <v/>
      </c>
      <c r="AW28" s="3">
        <f>IF(AND(Inputs!$E$88&gt;0,AW3&lt;=Inputs!$E$88*12),INDEX(Capex!$C$19:$E$19,1,Inputs!$E$17)/MAX(Inputs!$E$88,1)/12,0)+IF(AND(Inputs!$E$89&gt;0,AW3&lt;=Inputs!$E$89*12),INDEX(Capex!$C$20:$E$20,1,Inputs!$E$17)/MAX(Inputs!$E$89,1)/12,0)+IF(AND(Inputs!$E$90&gt;0,AW3&lt;=Inputs!$E$90*12),INDEX(Capex!$C$21:$E$21,1,Inputs!$E$17)/MAX(Inputs!$E$90,1)/12,0)+IF(AND(Inputs!$E$91&gt;0,AW3&lt;=Inputs!$E$91*12),INDEX(Capex!$C$22:$E$22,1,Inputs!$E$17)/MAX(Inputs!$E$91,1)/12,0)+IF(AND(Inputs!$E$92&gt;0,AW3&lt;=Inputs!$E$92*12),INDEX(Capex!$C$23:$E$23,1,Inputs!$E$17)/MAX(Inputs!$E$92,1)/12,0)+IF(AND(Inputs!$E$93&gt;0,AW3&lt;=Inputs!$E$93*12),INDEX(Capex!$C$24:$E$24,1,Inputs!$E$17)/MAX(Inputs!$E$93,1)/12,0)+IF(AND(Inputs!$E$94&gt;0,AW3&lt;=Inputs!$E$94*12),INDEX(Capex!$C$25:$E$25,1,Inputs!$E$17)/MAX(Inputs!$E$94,1)/12,0)</f>
        <v/>
      </c>
      <c r="AX28" s="3">
        <f>IF(AND(Inputs!$E$88&gt;0,AX3&lt;=Inputs!$E$88*12),INDEX(Capex!$C$19:$E$19,1,Inputs!$E$17)/MAX(Inputs!$E$88,1)/12,0)+IF(AND(Inputs!$E$89&gt;0,AX3&lt;=Inputs!$E$89*12),INDEX(Capex!$C$20:$E$20,1,Inputs!$E$17)/MAX(Inputs!$E$89,1)/12,0)+IF(AND(Inputs!$E$90&gt;0,AX3&lt;=Inputs!$E$90*12),INDEX(Capex!$C$21:$E$21,1,Inputs!$E$17)/MAX(Inputs!$E$90,1)/12,0)+IF(AND(Inputs!$E$91&gt;0,AX3&lt;=Inputs!$E$91*12),INDEX(Capex!$C$22:$E$22,1,Inputs!$E$17)/MAX(Inputs!$E$91,1)/12,0)+IF(AND(Inputs!$E$92&gt;0,AX3&lt;=Inputs!$E$92*12),INDEX(Capex!$C$23:$E$23,1,Inputs!$E$17)/MAX(Inputs!$E$92,1)/12,0)+IF(AND(Inputs!$E$93&gt;0,AX3&lt;=Inputs!$E$93*12),INDEX(Capex!$C$24:$E$24,1,Inputs!$E$17)/MAX(Inputs!$E$93,1)/12,0)+IF(AND(Inputs!$E$94&gt;0,AX3&lt;=Inputs!$E$94*12),INDEX(Capex!$C$25:$E$25,1,Inputs!$E$17)/MAX(Inputs!$E$94,1)/12,0)</f>
        <v/>
      </c>
      <c r="AY28" s="3">
        <f>IF(AND(Inputs!$E$88&gt;0,AY3&lt;=Inputs!$E$88*12),INDEX(Capex!$C$19:$E$19,1,Inputs!$E$17)/MAX(Inputs!$E$88,1)/12,0)+IF(AND(Inputs!$E$89&gt;0,AY3&lt;=Inputs!$E$89*12),INDEX(Capex!$C$20:$E$20,1,Inputs!$E$17)/MAX(Inputs!$E$89,1)/12,0)+IF(AND(Inputs!$E$90&gt;0,AY3&lt;=Inputs!$E$90*12),INDEX(Capex!$C$21:$E$21,1,Inputs!$E$17)/MAX(Inputs!$E$90,1)/12,0)+IF(AND(Inputs!$E$91&gt;0,AY3&lt;=Inputs!$E$91*12),INDEX(Capex!$C$22:$E$22,1,Inputs!$E$17)/MAX(Inputs!$E$91,1)/12,0)+IF(AND(Inputs!$E$92&gt;0,AY3&lt;=Inputs!$E$92*12),INDEX(Capex!$C$23:$E$23,1,Inputs!$E$17)/MAX(Inputs!$E$92,1)/12,0)+IF(AND(Inputs!$E$93&gt;0,AY3&lt;=Inputs!$E$93*12),INDEX(Capex!$C$24:$E$24,1,Inputs!$E$17)/MAX(Inputs!$E$93,1)/12,0)+IF(AND(Inputs!$E$94&gt;0,AY3&lt;=Inputs!$E$94*12),INDEX(Capex!$C$25:$E$25,1,Inputs!$E$17)/MAX(Inputs!$E$94,1)/12,0)</f>
        <v/>
      </c>
      <c r="AZ28" s="3">
        <f>IF(AND(Inputs!$E$88&gt;0,AZ3&lt;=Inputs!$E$88*12),INDEX(Capex!$C$19:$E$19,1,Inputs!$E$17)/MAX(Inputs!$E$88,1)/12,0)+IF(AND(Inputs!$E$89&gt;0,AZ3&lt;=Inputs!$E$89*12),INDEX(Capex!$C$20:$E$20,1,Inputs!$E$17)/MAX(Inputs!$E$89,1)/12,0)+IF(AND(Inputs!$E$90&gt;0,AZ3&lt;=Inputs!$E$90*12),INDEX(Capex!$C$21:$E$21,1,Inputs!$E$17)/MAX(Inputs!$E$90,1)/12,0)+IF(AND(Inputs!$E$91&gt;0,AZ3&lt;=Inputs!$E$91*12),INDEX(Capex!$C$22:$E$22,1,Inputs!$E$17)/MAX(Inputs!$E$91,1)/12,0)+IF(AND(Inputs!$E$92&gt;0,AZ3&lt;=Inputs!$E$92*12),INDEX(Capex!$C$23:$E$23,1,Inputs!$E$17)/MAX(Inputs!$E$92,1)/12,0)+IF(AND(Inputs!$E$93&gt;0,AZ3&lt;=Inputs!$E$93*12),INDEX(Capex!$C$24:$E$24,1,Inputs!$E$17)/MAX(Inputs!$E$93,1)/12,0)+IF(AND(Inputs!$E$94&gt;0,AZ3&lt;=Inputs!$E$94*12),INDEX(Capex!$C$25:$E$25,1,Inputs!$E$17)/MAX(Inputs!$E$94,1)/12,0)</f>
        <v/>
      </c>
      <c r="BA28" s="3">
        <f>IF(AND(Inputs!$E$88&gt;0,BA3&lt;=Inputs!$E$88*12),INDEX(Capex!$C$19:$E$19,1,Inputs!$E$17)/MAX(Inputs!$E$88,1)/12,0)+IF(AND(Inputs!$E$89&gt;0,BA3&lt;=Inputs!$E$89*12),INDEX(Capex!$C$20:$E$20,1,Inputs!$E$17)/MAX(Inputs!$E$89,1)/12,0)+IF(AND(Inputs!$E$90&gt;0,BA3&lt;=Inputs!$E$90*12),INDEX(Capex!$C$21:$E$21,1,Inputs!$E$17)/MAX(Inputs!$E$90,1)/12,0)+IF(AND(Inputs!$E$91&gt;0,BA3&lt;=Inputs!$E$91*12),INDEX(Capex!$C$22:$E$22,1,Inputs!$E$17)/MAX(Inputs!$E$91,1)/12,0)+IF(AND(Inputs!$E$92&gt;0,BA3&lt;=Inputs!$E$92*12),INDEX(Capex!$C$23:$E$23,1,Inputs!$E$17)/MAX(Inputs!$E$92,1)/12,0)+IF(AND(Inputs!$E$93&gt;0,BA3&lt;=Inputs!$E$93*12),INDEX(Capex!$C$24:$E$24,1,Inputs!$E$17)/MAX(Inputs!$E$93,1)/12,0)+IF(AND(Inputs!$E$94&gt;0,BA3&lt;=Inputs!$E$94*12),INDEX(Capex!$C$25:$E$25,1,Inputs!$E$17)/MAX(Inputs!$E$94,1)/12,0)</f>
        <v/>
      </c>
      <c r="BB28" s="3">
        <f>IF(AND(Inputs!$E$88&gt;0,BB3&lt;=Inputs!$E$88*12),INDEX(Capex!$C$19:$E$19,1,Inputs!$E$17)/MAX(Inputs!$E$88,1)/12,0)+IF(AND(Inputs!$E$89&gt;0,BB3&lt;=Inputs!$E$89*12),INDEX(Capex!$C$20:$E$20,1,Inputs!$E$17)/MAX(Inputs!$E$89,1)/12,0)+IF(AND(Inputs!$E$90&gt;0,BB3&lt;=Inputs!$E$90*12),INDEX(Capex!$C$21:$E$21,1,Inputs!$E$17)/MAX(Inputs!$E$90,1)/12,0)+IF(AND(Inputs!$E$91&gt;0,BB3&lt;=Inputs!$E$91*12),INDEX(Capex!$C$22:$E$22,1,Inputs!$E$17)/MAX(Inputs!$E$91,1)/12,0)+IF(AND(Inputs!$E$92&gt;0,BB3&lt;=Inputs!$E$92*12),INDEX(Capex!$C$23:$E$23,1,Inputs!$E$17)/MAX(Inputs!$E$92,1)/12,0)+IF(AND(Inputs!$E$93&gt;0,BB3&lt;=Inputs!$E$93*12),INDEX(Capex!$C$24:$E$24,1,Inputs!$E$17)/MAX(Inputs!$E$93,1)/12,0)+IF(AND(Inputs!$E$94&gt;0,BB3&lt;=Inputs!$E$94*12),INDEX(Capex!$C$25:$E$25,1,Inputs!$E$17)/MAX(Inputs!$E$94,1)/12,0)</f>
        <v/>
      </c>
      <c r="BC28" s="3">
        <f>IF(AND(Inputs!$E$88&gt;0,BC3&lt;=Inputs!$E$88*12),INDEX(Capex!$C$19:$E$19,1,Inputs!$E$17)/MAX(Inputs!$E$88,1)/12,0)+IF(AND(Inputs!$E$89&gt;0,BC3&lt;=Inputs!$E$89*12),INDEX(Capex!$C$20:$E$20,1,Inputs!$E$17)/MAX(Inputs!$E$89,1)/12,0)+IF(AND(Inputs!$E$90&gt;0,BC3&lt;=Inputs!$E$90*12),INDEX(Capex!$C$21:$E$21,1,Inputs!$E$17)/MAX(Inputs!$E$90,1)/12,0)+IF(AND(Inputs!$E$91&gt;0,BC3&lt;=Inputs!$E$91*12),INDEX(Capex!$C$22:$E$22,1,Inputs!$E$17)/MAX(Inputs!$E$91,1)/12,0)+IF(AND(Inputs!$E$92&gt;0,BC3&lt;=Inputs!$E$92*12),INDEX(Capex!$C$23:$E$23,1,Inputs!$E$17)/MAX(Inputs!$E$92,1)/12,0)+IF(AND(Inputs!$E$93&gt;0,BC3&lt;=Inputs!$E$93*12),INDEX(Capex!$C$24:$E$24,1,Inputs!$E$17)/MAX(Inputs!$E$93,1)/12,0)+IF(AND(Inputs!$E$94&gt;0,BC3&lt;=Inputs!$E$94*12),INDEX(Capex!$C$25:$E$25,1,Inputs!$E$17)/MAX(Inputs!$E$94,1)/12,0)</f>
        <v/>
      </c>
      <c r="BD28" s="3">
        <f>IF(AND(Inputs!$E$88&gt;0,BD3&lt;=Inputs!$E$88*12),INDEX(Capex!$C$19:$E$19,1,Inputs!$E$17)/MAX(Inputs!$E$88,1)/12,0)+IF(AND(Inputs!$E$89&gt;0,BD3&lt;=Inputs!$E$89*12),INDEX(Capex!$C$20:$E$20,1,Inputs!$E$17)/MAX(Inputs!$E$89,1)/12,0)+IF(AND(Inputs!$E$90&gt;0,BD3&lt;=Inputs!$E$90*12),INDEX(Capex!$C$21:$E$21,1,Inputs!$E$17)/MAX(Inputs!$E$90,1)/12,0)+IF(AND(Inputs!$E$91&gt;0,BD3&lt;=Inputs!$E$91*12),INDEX(Capex!$C$22:$E$22,1,Inputs!$E$17)/MAX(Inputs!$E$91,1)/12,0)+IF(AND(Inputs!$E$92&gt;0,BD3&lt;=Inputs!$E$92*12),INDEX(Capex!$C$23:$E$23,1,Inputs!$E$17)/MAX(Inputs!$E$92,1)/12,0)+IF(AND(Inputs!$E$93&gt;0,BD3&lt;=Inputs!$E$93*12),INDEX(Capex!$C$24:$E$24,1,Inputs!$E$17)/MAX(Inputs!$E$93,1)/12,0)+IF(AND(Inputs!$E$94&gt;0,BD3&lt;=Inputs!$E$94*12),INDEX(Capex!$C$25:$E$25,1,Inputs!$E$17)/MAX(Inputs!$E$94,1)/12,0)</f>
        <v/>
      </c>
      <c r="BE28" s="3">
        <f>IF(AND(Inputs!$E$88&gt;0,BE3&lt;=Inputs!$E$88*12),INDEX(Capex!$C$19:$E$19,1,Inputs!$E$17)/MAX(Inputs!$E$88,1)/12,0)+IF(AND(Inputs!$E$89&gt;0,BE3&lt;=Inputs!$E$89*12),INDEX(Capex!$C$20:$E$20,1,Inputs!$E$17)/MAX(Inputs!$E$89,1)/12,0)+IF(AND(Inputs!$E$90&gt;0,BE3&lt;=Inputs!$E$90*12),INDEX(Capex!$C$21:$E$21,1,Inputs!$E$17)/MAX(Inputs!$E$90,1)/12,0)+IF(AND(Inputs!$E$91&gt;0,BE3&lt;=Inputs!$E$91*12),INDEX(Capex!$C$22:$E$22,1,Inputs!$E$17)/MAX(Inputs!$E$91,1)/12,0)+IF(AND(Inputs!$E$92&gt;0,BE3&lt;=Inputs!$E$92*12),INDEX(Capex!$C$23:$E$23,1,Inputs!$E$17)/MAX(Inputs!$E$92,1)/12,0)+IF(AND(Inputs!$E$93&gt;0,BE3&lt;=Inputs!$E$93*12),INDEX(Capex!$C$24:$E$24,1,Inputs!$E$17)/MAX(Inputs!$E$93,1)/12,0)+IF(AND(Inputs!$E$94&gt;0,BE3&lt;=Inputs!$E$94*12),INDEX(Capex!$C$25:$E$25,1,Inputs!$E$17)/MAX(Inputs!$E$94,1)/12,0)</f>
        <v/>
      </c>
      <c r="BF28" s="3">
        <f>IF(AND(Inputs!$E$88&gt;0,BF3&lt;=Inputs!$E$88*12),INDEX(Capex!$C$19:$E$19,1,Inputs!$E$17)/MAX(Inputs!$E$88,1)/12,0)+IF(AND(Inputs!$E$89&gt;0,BF3&lt;=Inputs!$E$89*12),INDEX(Capex!$C$20:$E$20,1,Inputs!$E$17)/MAX(Inputs!$E$89,1)/12,0)+IF(AND(Inputs!$E$90&gt;0,BF3&lt;=Inputs!$E$90*12),INDEX(Capex!$C$21:$E$21,1,Inputs!$E$17)/MAX(Inputs!$E$90,1)/12,0)+IF(AND(Inputs!$E$91&gt;0,BF3&lt;=Inputs!$E$91*12),INDEX(Capex!$C$22:$E$22,1,Inputs!$E$17)/MAX(Inputs!$E$91,1)/12,0)+IF(AND(Inputs!$E$92&gt;0,BF3&lt;=Inputs!$E$92*12),INDEX(Capex!$C$23:$E$23,1,Inputs!$E$17)/MAX(Inputs!$E$92,1)/12,0)+IF(AND(Inputs!$E$93&gt;0,BF3&lt;=Inputs!$E$93*12),INDEX(Capex!$C$24:$E$24,1,Inputs!$E$17)/MAX(Inputs!$E$93,1)/12,0)+IF(AND(Inputs!$E$94&gt;0,BF3&lt;=Inputs!$E$94*12),INDEX(Capex!$C$25:$E$25,1,Inputs!$E$17)/MAX(Inputs!$E$94,1)/12,0)</f>
        <v/>
      </c>
      <c r="BG28" s="3">
        <f>IF(AND(Inputs!$E$88&gt;0,BG3&lt;=Inputs!$E$88*12),INDEX(Capex!$C$19:$E$19,1,Inputs!$E$17)/MAX(Inputs!$E$88,1)/12,0)+IF(AND(Inputs!$E$89&gt;0,BG3&lt;=Inputs!$E$89*12),INDEX(Capex!$C$20:$E$20,1,Inputs!$E$17)/MAX(Inputs!$E$89,1)/12,0)+IF(AND(Inputs!$E$90&gt;0,BG3&lt;=Inputs!$E$90*12),INDEX(Capex!$C$21:$E$21,1,Inputs!$E$17)/MAX(Inputs!$E$90,1)/12,0)+IF(AND(Inputs!$E$91&gt;0,BG3&lt;=Inputs!$E$91*12),INDEX(Capex!$C$22:$E$22,1,Inputs!$E$17)/MAX(Inputs!$E$91,1)/12,0)+IF(AND(Inputs!$E$92&gt;0,BG3&lt;=Inputs!$E$92*12),INDEX(Capex!$C$23:$E$23,1,Inputs!$E$17)/MAX(Inputs!$E$92,1)/12,0)+IF(AND(Inputs!$E$93&gt;0,BG3&lt;=Inputs!$E$93*12),INDEX(Capex!$C$24:$E$24,1,Inputs!$E$17)/MAX(Inputs!$E$93,1)/12,0)+IF(AND(Inputs!$E$94&gt;0,BG3&lt;=Inputs!$E$94*12),INDEX(Capex!$C$25:$E$25,1,Inputs!$E$17)/MAX(Inputs!$E$94,1)/12,0)</f>
        <v/>
      </c>
      <c r="BH28" s="3">
        <f>IF(AND(Inputs!$E$88&gt;0,BH3&lt;=Inputs!$E$88*12),INDEX(Capex!$C$19:$E$19,1,Inputs!$E$17)/MAX(Inputs!$E$88,1)/12,0)+IF(AND(Inputs!$E$89&gt;0,BH3&lt;=Inputs!$E$89*12),INDEX(Capex!$C$20:$E$20,1,Inputs!$E$17)/MAX(Inputs!$E$89,1)/12,0)+IF(AND(Inputs!$E$90&gt;0,BH3&lt;=Inputs!$E$90*12),INDEX(Capex!$C$21:$E$21,1,Inputs!$E$17)/MAX(Inputs!$E$90,1)/12,0)+IF(AND(Inputs!$E$91&gt;0,BH3&lt;=Inputs!$E$91*12),INDEX(Capex!$C$22:$E$22,1,Inputs!$E$17)/MAX(Inputs!$E$91,1)/12,0)+IF(AND(Inputs!$E$92&gt;0,BH3&lt;=Inputs!$E$92*12),INDEX(Capex!$C$23:$E$23,1,Inputs!$E$17)/MAX(Inputs!$E$92,1)/12,0)+IF(AND(Inputs!$E$93&gt;0,BH3&lt;=Inputs!$E$93*12),INDEX(Capex!$C$24:$E$24,1,Inputs!$E$17)/MAX(Inputs!$E$93,1)/12,0)+IF(AND(Inputs!$E$94&gt;0,BH3&lt;=Inputs!$E$94*12),INDEX(Capex!$C$25:$E$25,1,Inputs!$E$17)/MAX(Inputs!$E$94,1)/12,0)</f>
        <v/>
      </c>
      <c r="BI28" s="3">
        <f>IF(AND(Inputs!$E$88&gt;0,BI3&lt;=Inputs!$E$88*12),INDEX(Capex!$C$19:$E$19,1,Inputs!$E$17)/MAX(Inputs!$E$88,1)/12,0)+IF(AND(Inputs!$E$89&gt;0,BI3&lt;=Inputs!$E$89*12),INDEX(Capex!$C$20:$E$20,1,Inputs!$E$17)/MAX(Inputs!$E$89,1)/12,0)+IF(AND(Inputs!$E$90&gt;0,BI3&lt;=Inputs!$E$90*12),INDEX(Capex!$C$21:$E$21,1,Inputs!$E$17)/MAX(Inputs!$E$90,1)/12,0)+IF(AND(Inputs!$E$91&gt;0,BI3&lt;=Inputs!$E$91*12),INDEX(Capex!$C$22:$E$22,1,Inputs!$E$17)/MAX(Inputs!$E$91,1)/12,0)+IF(AND(Inputs!$E$92&gt;0,BI3&lt;=Inputs!$E$92*12),INDEX(Capex!$C$23:$E$23,1,Inputs!$E$17)/MAX(Inputs!$E$92,1)/12,0)+IF(AND(Inputs!$E$93&gt;0,BI3&lt;=Inputs!$E$93*12),INDEX(Capex!$C$24:$E$24,1,Inputs!$E$17)/MAX(Inputs!$E$93,1)/12,0)+IF(AND(Inputs!$E$94&gt;0,BI3&lt;=Inputs!$E$94*12),INDEX(Capex!$C$25:$E$25,1,Inputs!$E$17)/MAX(Inputs!$E$94,1)/12,0)</f>
        <v/>
      </c>
      <c r="BJ28" s="3">
        <f>IF(AND(Inputs!$E$88&gt;0,BJ3&lt;=Inputs!$E$88*12),INDEX(Capex!$C$19:$E$19,1,Inputs!$E$17)/MAX(Inputs!$E$88,1)/12,0)+IF(AND(Inputs!$E$89&gt;0,BJ3&lt;=Inputs!$E$89*12),INDEX(Capex!$C$20:$E$20,1,Inputs!$E$17)/MAX(Inputs!$E$89,1)/12,0)+IF(AND(Inputs!$E$90&gt;0,BJ3&lt;=Inputs!$E$90*12),INDEX(Capex!$C$21:$E$21,1,Inputs!$E$17)/MAX(Inputs!$E$90,1)/12,0)+IF(AND(Inputs!$E$91&gt;0,BJ3&lt;=Inputs!$E$91*12),INDEX(Capex!$C$22:$E$22,1,Inputs!$E$17)/MAX(Inputs!$E$91,1)/12,0)+IF(AND(Inputs!$E$92&gt;0,BJ3&lt;=Inputs!$E$92*12),INDEX(Capex!$C$23:$E$23,1,Inputs!$E$17)/MAX(Inputs!$E$92,1)/12,0)+IF(AND(Inputs!$E$93&gt;0,BJ3&lt;=Inputs!$E$93*12),INDEX(Capex!$C$24:$E$24,1,Inputs!$E$17)/MAX(Inputs!$E$93,1)/12,0)+IF(AND(Inputs!$E$94&gt;0,BJ3&lt;=Inputs!$E$94*12),INDEX(Capex!$C$25:$E$25,1,Inputs!$E$17)/MAX(Inputs!$E$94,1)/12,0)</f>
        <v/>
      </c>
    </row>
    <row r="29">
      <c r="A29" t="inlineStr">
        <is>
          <t>EBIT</t>
        </is>
      </c>
      <c r="C29" s="3">
        <f>C27-C28</f>
        <v/>
      </c>
      <c r="D29" s="3">
        <f>D27-D28</f>
        <v/>
      </c>
      <c r="E29" s="3">
        <f>E27-E28</f>
        <v/>
      </c>
      <c r="F29" s="3">
        <f>F27-F28</f>
        <v/>
      </c>
      <c r="G29" s="3">
        <f>G27-G28</f>
        <v/>
      </c>
      <c r="H29" s="3">
        <f>H27-H28</f>
        <v/>
      </c>
      <c r="I29" s="3">
        <f>I27-I28</f>
        <v/>
      </c>
      <c r="J29" s="3">
        <f>J27-J28</f>
        <v/>
      </c>
      <c r="K29" s="3">
        <f>K27-K28</f>
        <v/>
      </c>
      <c r="L29" s="3">
        <f>L27-L28</f>
        <v/>
      </c>
      <c r="M29" s="3">
        <f>M27-M28</f>
        <v/>
      </c>
      <c r="N29" s="3">
        <f>N27-N28</f>
        <v/>
      </c>
      <c r="O29" s="3">
        <f>O27-O28</f>
        <v/>
      </c>
      <c r="P29" s="3">
        <f>P27-P28</f>
        <v/>
      </c>
      <c r="Q29" s="3">
        <f>Q27-Q28</f>
        <v/>
      </c>
      <c r="R29" s="3">
        <f>R27-R28</f>
        <v/>
      </c>
      <c r="S29" s="3">
        <f>S27-S28</f>
        <v/>
      </c>
      <c r="T29" s="3">
        <f>T27-T28</f>
        <v/>
      </c>
      <c r="U29" s="3">
        <f>U27-U28</f>
        <v/>
      </c>
      <c r="V29" s="3">
        <f>V27-V28</f>
        <v/>
      </c>
      <c r="W29" s="3">
        <f>W27-W28</f>
        <v/>
      </c>
      <c r="X29" s="3">
        <f>X27-X28</f>
        <v/>
      </c>
      <c r="Y29" s="3">
        <f>Y27-Y28</f>
        <v/>
      </c>
      <c r="Z29" s="3">
        <f>Z27-Z28</f>
        <v/>
      </c>
      <c r="AA29" s="3">
        <f>AA27-AA28</f>
        <v/>
      </c>
      <c r="AB29" s="3">
        <f>AB27-AB28</f>
        <v/>
      </c>
      <c r="AC29" s="3">
        <f>AC27-AC28</f>
        <v/>
      </c>
      <c r="AD29" s="3">
        <f>AD27-AD28</f>
        <v/>
      </c>
      <c r="AE29" s="3">
        <f>AE27-AE28</f>
        <v/>
      </c>
      <c r="AF29" s="3">
        <f>AF27-AF28</f>
        <v/>
      </c>
      <c r="AG29" s="3">
        <f>AG27-AG28</f>
        <v/>
      </c>
      <c r="AH29" s="3">
        <f>AH27-AH28</f>
        <v/>
      </c>
      <c r="AI29" s="3">
        <f>AI27-AI28</f>
        <v/>
      </c>
      <c r="AJ29" s="3">
        <f>AJ27-AJ28</f>
        <v/>
      </c>
      <c r="AK29" s="3">
        <f>AK27-AK28</f>
        <v/>
      </c>
      <c r="AL29" s="3">
        <f>AL27-AL28</f>
        <v/>
      </c>
      <c r="AM29" s="3">
        <f>AM27-AM28</f>
        <v/>
      </c>
      <c r="AN29" s="3">
        <f>AN27-AN28</f>
        <v/>
      </c>
      <c r="AO29" s="3">
        <f>AO27-AO28</f>
        <v/>
      </c>
      <c r="AP29" s="3">
        <f>AP27-AP28</f>
        <v/>
      </c>
      <c r="AQ29" s="3">
        <f>AQ27-AQ28</f>
        <v/>
      </c>
      <c r="AR29" s="3">
        <f>AR27-AR28</f>
        <v/>
      </c>
      <c r="AS29" s="3">
        <f>AS27-AS28</f>
        <v/>
      </c>
      <c r="AT29" s="3">
        <f>AT27-AT28</f>
        <v/>
      </c>
      <c r="AU29" s="3">
        <f>AU27-AU28</f>
        <v/>
      </c>
      <c r="AV29" s="3">
        <f>AV27-AV28</f>
        <v/>
      </c>
      <c r="AW29" s="3">
        <f>AW27-AW28</f>
        <v/>
      </c>
      <c r="AX29" s="3">
        <f>AX27-AX28</f>
        <v/>
      </c>
      <c r="AY29" s="3">
        <f>AY27-AY28</f>
        <v/>
      </c>
      <c r="AZ29" s="3">
        <f>AZ27-AZ28</f>
        <v/>
      </c>
      <c r="BA29" s="3">
        <f>BA27-BA28</f>
        <v/>
      </c>
      <c r="BB29" s="3">
        <f>BB27-BB28</f>
        <v/>
      </c>
      <c r="BC29" s="3">
        <f>BC27-BC28</f>
        <v/>
      </c>
      <c r="BD29" s="3">
        <f>BD27-BD28</f>
        <v/>
      </c>
      <c r="BE29" s="3">
        <f>BE27-BE28</f>
        <v/>
      </c>
      <c r="BF29" s="3">
        <f>BF27-BF28</f>
        <v/>
      </c>
      <c r="BG29" s="3">
        <f>BG27-BG28</f>
        <v/>
      </c>
      <c r="BH29" s="3">
        <f>BH27-BH28</f>
        <v/>
      </c>
      <c r="BI29" s="3">
        <f>BI27-BI28</f>
        <v/>
      </c>
      <c r="BJ29" s="3">
        <f>BJ27-BJ28</f>
        <v/>
      </c>
    </row>
    <row r="30">
      <c r="A30" t="inlineStr">
        <is>
          <t>Cash before tax/capex adj.</t>
        </is>
      </c>
      <c r="C30" s="3">
        <f>C27-(INDEX(Annual!$C$132:$G$132,1,C4)+INDEX(Annual!$C$125:$G$125,1,C4)+INDEX(Annual!$C$135:$G$135,1,C4)+INDEX(Annual!$C$137:$G$137,1,C4))/12</f>
        <v/>
      </c>
      <c r="D30" s="3">
        <f>D27-(INDEX(Annual!$C$132:$G$132,1,D4)+INDEX(Annual!$C$125:$G$125,1,D4)+INDEX(Annual!$C$135:$G$135,1,D4)+INDEX(Annual!$C$137:$G$137,1,D4))/12</f>
        <v/>
      </c>
      <c r="E30" s="3">
        <f>E27-(INDEX(Annual!$C$132:$G$132,1,E4)+INDEX(Annual!$C$125:$G$125,1,E4)+INDEX(Annual!$C$135:$G$135,1,E4)+INDEX(Annual!$C$137:$G$137,1,E4))/12</f>
        <v/>
      </c>
      <c r="F30" s="3">
        <f>F27-(INDEX(Annual!$C$132:$G$132,1,F4)+INDEX(Annual!$C$125:$G$125,1,F4)+INDEX(Annual!$C$135:$G$135,1,F4)+INDEX(Annual!$C$137:$G$137,1,F4))/12</f>
        <v/>
      </c>
      <c r="G30" s="3">
        <f>G27-(INDEX(Annual!$C$132:$G$132,1,G4)+INDEX(Annual!$C$125:$G$125,1,G4)+INDEX(Annual!$C$135:$G$135,1,G4)+INDEX(Annual!$C$137:$G$137,1,G4))/12</f>
        <v/>
      </c>
      <c r="H30" s="3">
        <f>H27-(INDEX(Annual!$C$132:$G$132,1,H4)+INDEX(Annual!$C$125:$G$125,1,H4)+INDEX(Annual!$C$135:$G$135,1,H4)+INDEX(Annual!$C$137:$G$137,1,H4))/12</f>
        <v/>
      </c>
      <c r="I30" s="3">
        <f>I27-(INDEX(Annual!$C$132:$G$132,1,I4)+INDEX(Annual!$C$125:$G$125,1,I4)+INDEX(Annual!$C$135:$G$135,1,I4)+INDEX(Annual!$C$137:$G$137,1,I4))/12</f>
        <v/>
      </c>
      <c r="J30" s="3">
        <f>J27-(INDEX(Annual!$C$132:$G$132,1,J4)+INDEX(Annual!$C$125:$G$125,1,J4)+INDEX(Annual!$C$135:$G$135,1,J4)+INDEX(Annual!$C$137:$G$137,1,J4))/12</f>
        <v/>
      </c>
      <c r="K30" s="3">
        <f>K27-(INDEX(Annual!$C$132:$G$132,1,K4)+INDEX(Annual!$C$125:$G$125,1,K4)+INDEX(Annual!$C$135:$G$135,1,K4)+INDEX(Annual!$C$137:$G$137,1,K4))/12</f>
        <v/>
      </c>
      <c r="L30" s="3">
        <f>L27-(INDEX(Annual!$C$132:$G$132,1,L4)+INDEX(Annual!$C$125:$G$125,1,L4)+INDEX(Annual!$C$135:$G$135,1,L4)+INDEX(Annual!$C$137:$G$137,1,L4))/12</f>
        <v/>
      </c>
      <c r="M30" s="3">
        <f>M27-(INDEX(Annual!$C$132:$G$132,1,M4)+INDEX(Annual!$C$125:$G$125,1,M4)+INDEX(Annual!$C$135:$G$135,1,M4)+INDEX(Annual!$C$137:$G$137,1,M4))/12</f>
        <v/>
      </c>
      <c r="N30" s="3">
        <f>N27-(INDEX(Annual!$C$132:$G$132,1,N4)+INDEX(Annual!$C$125:$G$125,1,N4)+INDEX(Annual!$C$135:$G$135,1,N4)+INDEX(Annual!$C$137:$G$137,1,N4))/12</f>
        <v/>
      </c>
      <c r="O30" s="3">
        <f>O27-(INDEX(Annual!$C$132:$G$132,1,O4)+INDEX(Annual!$C$125:$G$125,1,O4)+INDEX(Annual!$C$135:$G$135,1,O4)+INDEX(Annual!$C$137:$G$137,1,O4))/12</f>
        <v/>
      </c>
      <c r="P30" s="3">
        <f>P27-(INDEX(Annual!$C$132:$G$132,1,P4)+INDEX(Annual!$C$125:$G$125,1,P4)+INDEX(Annual!$C$135:$G$135,1,P4)+INDEX(Annual!$C$137:$G$137,1,P4))/12</f>
        <v/>
      </c>
      <c r="Q30" s="3">
        <f>Q27-(INDEX(Annual!$C$132:$G$132,1,Q4)+INDEX(Annual!$C$125:$G$125,1,Q4)+INDEX(Annual!$C$135:$G$135,1,Q4)+INDEX(Annual!$C$137:$G$137,1,Q4))/12</f>
        <v/>
      </c>
      <c r="R30" s="3">
        <f>R27-(INDEX(Annual!$C$132:$G$132,1,R4)+INDEX(Annual!$C$125:$G$125,1,R4)+INDEX(Annual!$C$135:$G$135,1,R4)+INDEX(Annual!$C$137:$G$137,1,R4))/12</f>
        <v/>
      </c>
      <c r="S30" s="3">
        <f>S27-(INDEX(Annual!$C$132:$G$132,1,S4)+INDEX(Annual!$C$125:$G$125,1,S4)+INDEX(Annual!$C$135:$G$135,1,S4)+INDEX(Annual!$C$137:$G$137,1,S4))/12</f>
        <v/>
      </c>
      <c r="T30" s="3">
        <f>T27-(INDEX(Annual!$C$132:$G$132,1,T4)+INDEX(Annual!$C$125:$G$125,1,T4)+INDEX(Annual!$C$135:$G$135,1,T4)+INDEX(Annual!$C$137:$G$137,1,T4))/12</f>
        <v/>
      </c>
      <c r="U30" s="3">
        <f>U27-(INDEX(Annual!$C$132:$G$132,1,U4)+INDEX(Annual!$C$125:$G$125,1,U4)+INDEX(Annual!$C$135:$G$135,1,U4)+INDEX(Annual!$C$137:$G$137,1,U4))/12</f>
        <v/>
      </c>
      <c r="V30" s="3">
        <f>V27-(INDEX(Annual!$C$132:$G$132,1,V4)+INDEX(Annual!$C$125:$G$125,1,V4)+INDEX(Annual!$C$135:$G$135,1,V4)+INDEX(Annual!$C$137:$G$137,1,V4))/12</f>
        <v/>
      </c>
      <c r="W30" s="3">
        <f>W27-(INDEX(Annual!$C$132:$G$132,1,W4)+INDEX(Annual!$C$125:$G$125,1,W4)+INDEX(Annual!$C$135:$G$135,1,W4)+INDEX(Annual!$C$137:$G$137,1,W4))/12</f>
        <v/>
      </c>
      <c r="X30" s="3">
        <f>X27-(INDEX(Annual!$C$132:$G$132,1,X4)+INDEX(Annual!$C$125:$G$125,1,X4)+INDEX(Annual!$C$135:$G$135,1,X4)+INDEX(Annual!$C$137:$G$137,1,X4))/12</f>
        <v/>
      </c>
      <c r="Y30" s="3">
        <f>Y27-(INDEX(Annual!$C$132:$G$132,1,Y4)+INDEX(Annual!$C$125:$G$125,1,Y4)+INDEX(Annual!$C$135:$G$135,1,Y4)+INDEX(Annual!$C$137:$G$137,1,Y4))/12</f>
        <v/>
      </c>
      <c r="Z30" s="3">
        <f>Z27-(INDEX(Annual!$C$132:$G$132,1,Z4)+INDEX(Annual!$C$125:$G$125,1,Z4)+INDEX(Annual!$C$135:$G$135,1,Z4)+INDEX(Annual!$C$137:$G$137,1,Z4))/12</f>
        <v/>
      </c>
      <c r="AA30" s="3">
        <f>AA27-(INDEX(Annual!$C$132:$G$132,1,AA4)+INDEX(Annual!$C$125:$G$125,1,AA4)+INDEX(Annual!$C$135:$G$135,1,AA4)+INDEX(Annual!$C$137:$G$137,1,AA4))/12</f>
        <v/>
      </c>
      <c r="AB30" s="3">
        <f>AB27-(INDEX(Annual!$C$132:$G$132,1,AB4)+INDEX(Annual!$C$125:$G$125,1,AB4)+INDEX(Annual!$C$135:$G$135,1,AB4)+INDEX(Annual!$C$137:$G$137,1,AB4))/12</f>
        <v/>
      </c>
      <c r="AC30" s="3">
        <f>AC27-(INDEX(Annual!$C$132:$G$132,1,AC4)+INDEX(Annual!$C$125:$G$125,1,AC4)+INDEX(Annual!$C$135:$G$135,1,AC4)+INDEX(Annual!$C$137:$G$137,1,AC4))/12</f>
        <v/>
      </c>
      <c r="AD30" s="3">
        <f>AD27-(INDEX(Annual!$C$132:$G$132,1,AD4)+INDEX(Annual!$C$125:$G$125,1,AD4)+INDEX(Annual!$C$135:$G$135,1,AD4)+INDEX(Annual!$C$137:$G$137,1,AD4))/12</f>
        <v/>
      </c>
      <c r="AE30" s="3">
        <f>AE27-(INDEX(Annual!$C$132:$G$132,1,AE4)+INDEX(Annual!$C$125:$G$125,1,AE4)+INDEX(Annual!$C$135:$G$135,1,AE4)+INDEX(Annual!$C$137:$G$137,1,AE4))/12</f>
        <v/>
      </c>
      <c r="AF30" s="3">
        <f>AF27-(INDEX(Annual!$C$132:$G$132,1,AF4)+INDEX(Annual!$C$125:$G$125,1,AF4)+INDEX(Annual!$C$135:$G$135,1,AF4)+INDEX(Annual!$C$137:$G$137,1,AF4))/12</f>
        <v/>
      </c>
      <c r="AG30" s="3">
        <f>AG27-(INDEX(Annual!$C$132:$G$132,1,AG4)+INDEX(Annual!$C$125:$G$125,1,AG4)+INDEX(Annual!$C$135:$G$135,1,AG4)+INDEX(Annual!$C$137:$G$137,1,AG4))/12</f>
        <v/>
      </c>
      <c r="AH30" s="3">
        <f>AH27-(INDEX(Annual!$C$132:$G$132,1,AH4)+INDEX(Annual!$C$125:$G$125,1,AH4)+INDEX(Annual!$C$135:$G$135,1,AH4)+INDEX(Annual!$C$137:$G$137,1,AH4))/12</f>
        <v/>
      </c>
      <c r="AI30" s="3">
        <f>AI27-(INDEX(Annual!$C$132:$G$132,1,AI4)+INDEX(Annual!$C$125:$G$125,1,AI4)+INDEX(Annual!$C$135:$G$135,1,AI4)+INDEX(Annual!$C$137:$G$137,1,AI4))/12</f>
        <v/>
      </c>
      <c r="AJ30" s="3">
        <f>AJ27-(INDEX(Annual!$C$132:$G$132,1,AJ4)+INDEX(Annual!$C$125:$G$125,1,AJ4)+INDEX(Annual!$C$135:$G$135,1,AJ4)+INDEX(Annual!$C$137:$G$137,1,AJ4))/12</f>
        <v/>
      </c>
      <c r="AK30" s="3">
        <f>AK27-(INDEX(Annual!$C$132:$G$132,1,AK4)+INDEX(Annual!$C$125:$G$125,1,AK4)+INDEX(Annual!$C$135:$G$135,1,AK4)+INDEX(Annual!$C$137:$G$137,1,AK4))/12</f>
        <v/>
      </c>
      <c r="AL30" s="3">
        <f>AL27-(INDEX(Annual!$C$132:$G$132,1,AL4)+INDEX(Annual!$C$125:$G$125,1,AL4)+INDEX(Annual!$C$135:$G$135,1,AL4)+INDEX(Annual!$C$137:$G$137,1,AL4))/12</f>
        <v/>
      </c>
      <c r="AM30" s="3">
        <f>AM27-(INDEX(Annual!$C$132:$G$132,1,AM4)+INDEX(Annual!$C$125:$G$125,1,AM4)+INDEX(Annual!$C$135:$G$135,1,AM4)+INDEX(Annual!$C$137:$G$137,1,AM4))/12</f>
        <v/>
      </c>
      <c r="AN30" s="3">
        <f>AN27-(INDEX(Annual!$C$132:$G$132,1,AN4)+INDEX(Annual!$C$125:$G$125,1,AN4)+INDEX(Annual!$C$135:$G$135,1,AN4)+INDEX(Annual!$C$137:$G$137,1,AN4))/12</f>
        <v/>
      </c>
      <c r="AO30" s="3">
        <f>AO27-(INDEX(Annual!$C$132:$G$132,1,AO4)+INDEX(Annual!$C$125:$G$125,1,AO4)+INDEX(Annual!$C$135:$G$135,1,AO4)+INDEX(Annual!$C$137:$G$137,1,AO4))/12</f>
        <v/>
      </c>
      <c r="AP30" s="3">
        <f>AP27-(INDEX(Annual!$C$132:$G$132,1,AP4)+INDEX(Annual!$C$125:$G$125,1,AP4)+INDEX(Annual!$C$135:$G$135,1,AP4)+INDEX(Annual!$C$137:$G$137,1,AP4))/12</f>
        <v/>
      </c>
      <c r="AQ30" s="3">
        <f>AQ27-(INDEX(Annual!$C$132:$G$132,1,AQ4)+INDEX(Annual!$C$125:$G$125,1,AQ4)+INDEX(Annual!$C$135:$G$135,1,AQ4)+INDEX(Annual!$C$137:$G$137,1,AQ4))/12</f>
        <v/>
      </c>
      <c r="AR30" s="3">
        <f>AR27-(INDEX(Annual!$C$132:$G$132,1,AR4)+INDEX(Annual!$C$125:$G$125,1,AR4)+INDEX(Annual!$C$135:$G$135,1,AR4)+INDEX(Annual!$C$137:$G$137,1,AR4))/12</f>
        <v/>
      </c>
      <c r="AS30" s="3">
        <f>AS27-(INDEX(Annual!$C$132:$G$132,1,AS4)+INDEX(Annual!$C$125:$G$125,1,AS4)+INDEX(Annual!$C$135:$G$135,1,AS4)+INDEX(Annual!$C$137:$G$137,1,AS4))/12</f>
        <v/>
      </c>
      <c r="AT30" s="3">
        <f>AT27-(INDEX(Annual!$C$132:$G$132,1,AT4)+INDEX(Annual!$C$125:$G$125,1,AT4)+INDEX(Annual!$C$135:$G$135,1,AT4)+INDEX(Annual!$C$137:$G$137,1,AT4))/12</f>
        <v/>
      </c>
      <c r="AU30" s="3">
        <f>AU27-(INDEX(Annual!$C$132:$G$132,1,AU4)+INDEX(Annual!$C$125:$G$125,1,AU4)+INDEX(Annual!$C$135:$G$135,1,AU4)+INDEX(Annual!$C$137:$G$137,1,AU4))/12</f>
        <v/>
      </c>
      <c r="AV30" s="3">
        <f>AV27-(INDEX(Annual!$C$132:$G$132,1,AV4)+INDEX(Annual!$C$125:$G$125,1,AV4)+INDEX(Annual!$C$135:$G$135,1,AV4)+INDEX(Annual!$C$137:$G$137,1,AV4))/12</f>
        <v/>
      </c>
      <c r="AW30" s="3">
        <f>AW27-(INDEX(Annual!$C$132:$G$132,1,AW4)+INDEX(Annual!$C$125:$G$125,1,AW4)+INDEX(Annual!$C$135:$G$135,1,AW4)+INDEX(Annual!$C$137:$G$137,1,AW4))/12</f>
        <v/>
      </c>
      <c r="AX30" s="3">
        <f>AX27-(INDEX(Annual!$C$132:$G$132,1,AX4)+INDEX(Annual!$C$125:$G$125,1,AX4)+INDEX(Annual!$C$135:$G$135,1,AX4)+INDEX(Annual!$C$137:$G$137,1,AX4))/12</f>
        <v/>
      </c>
      <c r="AY30" s="3">
        <f>AY27-(INDEX(Annual!$C$132:$G$132,1,AY4)+INDEX(Annual!$C$125:$G$125,1,AY4)+INDEX(Annual!$C$135:$G$135,1,AY4)+INDEX(Annual!$C$137:$G$137,1,AY4))/12</f>
        <v/>
      </c>
      <c r="AZ30" s="3">
        <f>AZ27-(INDEX(Annual!$C$132:$G$132,1,AZ4)+INDEX(Annual!$C$125:$G$125,1,AZ4)+INDEX(Annual!$C$135:$G$135,1,AZ4)+INDEX(Annual!$C$137:$G$137,1,AZ4))/12</f>
        <v/>
      </c>
      <c r="BA30" s="3">
        <f>BA27-(INDEX(Annual!$C$132:$G$132,1,BA4)+INDEX(Annual!$C$125:$G$125,1,BA4)+INDEX(Annual!$C$135:$G$135,1,BA4)+INDEX(Annual!$C$137:$G$137,1,BA4))/12</f>
        <v/>
      </c>
      <c r="BB30" s="3">
        <f>BB27-(INDEX(Annual!$C$132:$G$132,1,BB4)+INDEX(Annual!$C$125:$G$125,1,BB4)+INDEX(Annual!$C$135:$G$135,1,BB4)+INDEX(Annual!$C$137:$G$137,1,BB4))/12</f>
        <v/>
      </c>
      <c r="BC30" s="3">
        <f>BC27-(INDEX(Annual!$C$132:$G$132,1,BC4)+INDEX(Annual!$C$125:$G$125,1,BC4)+INDEX(Annual!$C$135:$G$135,1,BC4)+INDEX(Annual!$C$137:$G$137,1,BC4))/12</f>
        <v/>
      </c>
      <c r="BD30" s="3">
        <f>BD27-(INDEX(Annual!$C$132:$G$132,1,BD4)+INDEX(Annual!$C$125:$G$125,1,BD4)+INDEX(Annual!$C$135:$G$135,1,BD4)+INDEX(Annual!$C$137:$G$137,1,BD4))/12</f>
        <v/>
      </c>
      <c r="BE30" s="3">
        <f>BE27-(INDEX(Annual!$C$132:$G$132,1,BE4)+INDEX(Annual!$C$125:$G$125,1,BE4)+INDEX(Annual!$C$135:$G$135,1,BE4)+INDEX(Annual!$C$137:$G$137,1,BE4))/12</f>
        <v/>
      </c>
      <c r="BF30" s="3">
        <f>BF27-(INDEX(Annual!$C$132:$G$132,1,BF4)+INDEX(Annual!$C$125:$G$125,1,BF4)+INDEX(Annual!$C$135:$G$135,1,BF4)+INDEX(Annual!$C$137:$G$137,1,BF4))/12</f>
        <v/>
      </c>
      <c r="BG30" s="3">
        <f>BG27-(INDEX(Annual!$C$132:$G$132,1,BG4)+INDEX(Annual!$C$125:$G$125,1,BG4)+INDEX(Annual!$C$135:$G$135,1,BG4)+INDEX(Annual!$C$137:$G$137,1,BG4))/12</f>
        <v/>
      </c>
      <c r="BH30" s="3">
        <f>BH27-(INDEX(Annual!$C$132:$G$132,1,BH4)+INDEX(Annual!$C$125:$G$125,1,BH4)+INDEX(Annual!$C$135:$G$135,1,BH4)+INDEX(Annual!$C$137:$G$137,1,BH4))/12</f>
        <v/>
      </c>
      <c r="BI30" s="3">
        <f>BI27-(INDEX(Annual!$C$132:$G$132,1,BI4)+INDEX(Annual!$C$125:$G$125,1,BI4)+INDEX(Annual!$C$135:$G$135,1,BI4)+INDEX(Annual!$C$137:$G$137,1,BI4))/12</f>
        <v/>
      </c>
      <c r="BJ30" s="3">
        <f>BJ27-(INDEX(Annual!$C$132:$G$132,1,BJ4)+INDEX(Annual!$C$125:$G$125,1,BJ4)+INDEX(Annual!$C$135:$G$135,1,BJ4)+INDEX(Annual!$C$137:$G$137,1,BJ4))/12</f>
        <v/>
      </c>
    </row>
    <row r="31">
      <c r="A31" s="18" t="inlineStr">
        <is>
          <t>Cumulative cash (after investment)</t>
        </is>
      </c>
      <c r="C31" s="3">
        <f>-INDEX(Capex!$C$15:$E$15,1,Inputs!$E$17)+C30</f>
        <v/>
      </c>
      <c r="D31" s="3">
        <f>C31+D30</f>
        <v/>
      </c>
      <c r="E31" s="3">
        <f>D31+E30</f>
        <v/>
      </c>
      <c r="F31" s="3">
        <f>E31+F30</f>
        <v/>
      </c>
      <c r="G31" s="3">
        <f>F31+G30</f>
        <v/>
      </c>
      <c r="H31" s="3">
        <f>G31+H30</f>
        <v/>
      </c>
      <c r="I31" s="3">
        <f>H31+I30</f>
        <v/>
      </c>
      <c r="J31" s="3">
        <f>I31+J30</f>
        <v/>
      </c>
      <c r="K31" s="3">
        <f>J31+K30</f>
        <v/>
      </c>
      <c r="L31" s="3">
        <f>K31+L30</f>
        <v/>
      </c>
      <c r="M31" s="3">
        <f>L31+M30</f>
        <v/>
      </c>
      <c r="N31" s="3">
        <f>M31+N30</f>
        <v/>
      </c>
      <c r="O31" s="3">
        <f>N31+O30</f>
        <v/>
      </c>
      <c r="P31" s="3">
        <f>O31+P30</f>
        <v/>
      </c>
      <c r="Q31" s="3">
        <f>P31+Q30</f>
        <v/>
      </c>
      <c r="R31" s="3">
        <f>Q31+R30</f>
        <v/>
      </c>
      <c r="S31" s="3">
        <f>R31+S30</f>
        <v/>
      </c>
      <c r="T31" s="3">
        <f>S31+T30</f>
        <v/>
      </c>
      <c r="U31" s="3">
        <f>T31+U30</f>
        <v/>
      </c>
      <c r="V31" s="3">
        <f>U31+V30</f>
        <v/>
      </c>
      <c r="W31" s="3">
        <f>V31+W30</f>
        <v/>
      </c>
      <c r="X31" s="3">
        <f>W31+X30</f>
        <v/>
      </c>
      <c r="Y31" s="3">
        <f>X31+Y30</f>
        <v/>
      </c>
      <c r="Z31" s="3">
        <f>Y31+Z30</f>
        <v/>
      </c>
      <c r="AA31" s="3">
        <f>Z31+AA30</f>
        <v/>
      </c>
      <c r="AB31" s="3">
        <f>AA31+AB30</f>
        <v/>
      </c>
      <c r="AC31" s="3">
        <f>AB31+AC30</f>
        <v/>
      </c>
      <c r="AD31" s="3">
        <f>AC31+AD30</f>
        <v/>
      </c>
      <c r="AE31" s="3">
        <f>AD31+AE30</f>
        <v/>
      </c>
      <c r="AF31" s="3">
        <f>AE31+AF30</f>
        <v/>
      </c>
      <c r="AG31" s="3">
        <f>AF31+AG30</f>
        <v/>
      </c>
      <c r="AH31" s="3">
        <f>AG31+AH30</f>
        <v/>
      </c>
      <c r="AI31" s="3">
        <f>AH31+AI30</f>
        <v/>
      </c>
      <c r="AJ31" s="3">
        <f>AI31+AJ30</f>
        <v/>
      </c>
      <c r="AK31" s="3">
        <f>AJ31+AK30</f>
        <v/>
      </c>
      <c r="AL31" s="3">
        <f>AK31+AL30</f>
        <v/>
      </c>
      <c r="AM31" s="3">
        <f>AL31+AM30</f>
        <v/>
      </c>
      <c r="AN31" s="3">
        <f>AM31+AN30</f>
        <v/>
      </c>
      <c r="AO31" s="3">
        <f>AN31+AO30</f>
        <v/>
      </c>
      <c r="AP31" s="3">
        <f>AO31+AP30</f>
        <v/>
      </c>
      <c r="AQ31" s="3">
        <f>AP31+AQ30</f>
        <v/>
      </c>
      <c r="AR31" s="3">
        <f>AQ31+AR30</f>
        <v/>
      </c>
      <c r="AS31" s="3">
        <f>AR31+AS30</f>
        <v/>
      </c>
      <c r="AT31" s="3">
        <f>AS31+AT30</f>
        <v/>
      </c>
      <c r="AU31" s="3">
        <f>AT31+AU30</f>
        <v/>
      </c>
      <c r="AV31" s="3">
        <f>AU31+AV30</f>
        <v/>
      </c>
      <c r="AW31" s="3">
        <f>AV31+AW30</f>
        <v/>
      </c>
      <c r="AX31" s="3">
        <f>AW31+AX30</f>
        <v/>
      </c>
      <c r="AY31" s="3">
        <f>AX31+AY30</f>
        <v/>
      </c>
      <c r="AZ31" s="3">
        <f>AY31+AZ30</f>
        <v/>
      </c>
      <c r="BA31" s="3">
        <f>AZ31+BA30</f>
        <v/>
      </c>
      <c r="BB31" s="3">
        <f>BA31+BB30</f>
        <v/>
      </c>
      <c r="BC31" s="3">
        <f>BB31+BC30</f>
        <v/>
      </c>
      <c r="BD31" s="3">
        <f>BC31+BD30</f>
        <v/>
      </c>
      <c r="BE31" s="3">
        <f>BD31+BE30</f>
        <v/>
      </c>
      <c r="BF31" s="3">
        <f>BE31+BF30</f>
        <v/>
      </c>
      <c r="BG31" s="3">
        <f>BF31+BG30</f>
        <v/>
      </c>
      <c r="BH31" s="3">
        <f>BG31+BH30</f>
        <v/>
      </c>
      <c r="BI31" s="3">
        <f>BH31+BI30</f>
        <v/>
      </c>
      <c r="BJ31" s="3">
        <f>BI31+BJ30</f>
        <v/>
      </c>
    </row>
    <row r="32">
      <c r="A32" t="inlineStr">
        <is>
          <t>Payback flag</t>
        </is>
      </c>
      <c r="C32" s="7">
        <f>IF(C31&gt;=0,C3,999)</f>
        <v/>
      </c>
      <c r="D32" s="7">
        <f>IF(D31&gt;=0,D3,999)</f>
        <v/>
      </c>
      <c r="E32" s="7">
        <f>IF(E31&gt;=0,E3,999)</f>
        <v/>
      </c>
      <c r="F32" s="7">
        <f>IF(F31&gt;=0,F3,999)</f>
        <v/>
      </c>
      <c r="G32" s="7">
        <f>IF(G31&gt;=0,G3,999)</f>
        <v/>
      </c>
      <c r="H32" s="7">
        <f>IF(H31&gt;=0,H3,999)</f>
        <v/>
      </c>
      <c r="I32" s="7">
        <f>IF(I31&gt;=0,I3,999)</f>
        <v/>
      </c>
      <c r="J32" s="7">
        <f>IF(J31&gt;=0,J3,999)</f>
        <v/>
      </c>
      <c r="K32" s="7">
        <f>IF(K31&gt;=0,K3,999)</f>
        <v/>
      </c>
      <c r="L32" s="7">
        <f>IF(L31&gt;=0,L3,999)</f>
        <v/>
      </c>
      <c r="M32" s="7">
        <f>IF(M31&gt;=0,M3,999)</f>
        <v/>
      </c>
      <c r="N32" s="7">
        <f>IF(N31&gt;=0,N3,999)</f>
        <v/>
      </c>
      <c r="O32" s="7">
        <f>IF(O31&gt;=0,O3,999)</f>
        <v/>
      </c>
      <c r="P32" s="7">
        <f>IF(P31&gt;=0,P3,999)</f>
        <v/>
      </c>
      <c r="Q32" s="7">
        <f>IF(Q31&gt;=0,Q3,999)</f>
        <v/>
      </c>
      <c r="R32" s="7">
        <f>IF(R31&gt;=0,R3,999)</f>
        <v/>
      </c>
      <c r="S32" s="7">
        <f>IF(S31&gt;=0,S3,999)</f>
        <v/>
      </c>
      <c r="T32" s="7">
        <f>IF(T31&gt;=0,T3,999)</f>
        <v/>
      </c>
      <c r="U32" s="7">
        <f>IF(U31&gt;=0,U3,999)</f>
        <v/>
      </c>
      <c r="V32" s="7">
        <f>IF(V31&gt;=0,V3,999)</f>
        <v/>
      </c>
      <c r="W32" s="7">
        <f>IF(W31&gt;=0,W3,999)</f>
        <v/>
      </c>
      <c r="X32" s="7">
        <f>IF(X31&gt;=0,X3,999)</f>
        <v/>
      </c>
      <c r="Y32" s="7">
        <f>IF(Y31&gt;=0,Y3,999)</f>
        <v/>
      </c>
      <c r="Z32" s="7">
        <f>IF(Z31&gt;=0,Z3,999)</f>
        <v/>
      </c>
      <c r="AA32" s="7">
        <f>IF(AA31&gt;=0,AA3,999)</f>
        <v/>
      </c>
      <c r="AB32" s="7">
        <f>IF(AB31&gt;=0,AB3,999)</f>
        <v/>
      </c>
      <c r="AC32" s="7">
        <f>IF(AC31&gt;=0,AC3,999)</f>
        <v/>
      </c>
      <c r="AD32" s="7">
        <f>IF(AD31&gt;=0,AD3,999)</f>
        <v/>
      </c>
      <c r="AE32" s="7">
        <f>IF(AE31&gt;=0,AE3,999)</f>
        <v/>
      </c>
      <c r="AF32" s="7">
        <f>IF(AF31&gt;=0,AF3,999)</f>
        <v/>
      </c>
      <c r="AG32" s="7">
        <f>IF(AG31&gt;=0,AG3,999)</f>
        <v/>
      </c>
      <c r="AH32" s="7">
        <f>IF(AH31&gt;=0,AH3,999)</f>
        <v/>
      </c>
      <c r="AI32" s="7">
        <f>IF(AI31&gt;=0,AI3,999)</f>
        <v/>
      </c>
      <c r="AJ32" s="7">
        <f>IF(AJ31&gt;=0,AJ3,999)</f>
        <v/>
      </c>
      <c r="AK32" s="7">
        <f>IF(AK31&gt;=0,AK3,999)</f>
        <v/>
      </c>
      <c r="AL32" s="7">
        <f>IF(AL31&gt;=0,AL3,999)</f>
        <v/>
      </c>
      <c r="AM32" s="7">
        <f>IF(AM31&gt;=0,AM3,999)</f>
        <v/>
      </c>
      <c r="AN32" s="7">
        <f>IF(AN31&gt;=0,AN3,999)</f>
        <v/>
      </c>
      <c r="AO32" s="7">
        <f>IF(AO31&gt;=0,AO3,999)</f>
        <v/>
      </c>
      <c r="AP32" s="7">
        <f>IF(AP31&gt;=0,AP3,999)</f>
        <v/>
      </c>
      <c r="AQ32" s="7">
        <f>IF(AQ31&gt;=0,AQ3,999)</f>
        <v/>
      </c>
      <c r="AR32" s="7">
        <f>IF(AR31&gt;=0,AR3,999)</f>
        <v/>
      </c>
      <c r="AS32" s="7">
        <f>IF(AS31&gt;=0,AS3,999)</f>
        <v/>
      </c>
      <c r="AT32" s="7">
        <f>IF(AT31&gt;=0,AT3,999)</f>
        <v/>
      </c>
      <c r="AU32" s="7">
        <f>IF(AU31&gt;=0,AU3,999)</f>
        <v/>
      </c>
      <c r="AV32" s="7">
        <f>IF(AV31&gt;=0,AV3,999)</f>
        <v/>
      </c>
      <c r="AW32" s="7">
        <f>IF(AW31&gt;=0,AW3,999)</f>
        <v/>
      </c>
      <c r="AX32" s="7">
        <f>IF(AX31&gt;=0,AX3,999)</f>
        <v/>
      </c>
      <c r="AY32" s="7">
        <f>IF(AY31&gt;=0,AY3,999)</f>
        <v/>
      </c>
      <c r="AZ32" s="7">
        <f>IF(AZ31&gt;=0,AZ3,999)</f>
        <v/>
      </c>
      <c r="BA32" s="7">
        <f>IF(BA31&gt;=0,BA3,999)</f>
        <v/>
      </c>
      <c r="BB32" s="7">
        <f>IF(BB31&gt;=0,BB3,999)</f>
        <v/>
      </c>
      <c r="BC32" s="7">
        <f>IF(BC31&gt;=0,BC3,999)</f>
        <v/>
      </c>
      <c r="BD32" s="7">
        <f>IF(BD31&gt;=0,BD3,999)</f>
        <v/>
      </c>
      <c r="BE32" s="7">
        <f>IF(BE31&gt;=0,BE3,999)</f>
        <v/>
      </c>
      <c r="BF32" s="7">
        <f>IF(BF31&gt;=0,BF3,999)</f>
        <v/>
      </c>
      <c r="BG32" s="7">
        <f>IF(BG31&gt;=0,BG3,999)</f>
        <v/>
      </c>
      <c r="BH32" s="7">
        <f>IF(BH31&gt;=0,BH3,999)</f>
        <v/>
      </c>
      <c r="BI32" s="7">
        <f>IF(BI31&gt;=0,BI3,999)</f>
        <v/>
      </c>
      <c r="BJ32" s="7">
        <f>IF(BJ31&gt;=0,BJ3,999)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2026-10-10T11:18:35Z</dcterms:created>
  <dcterms:modified xmlns:dcterms="http://purl.org/dc/terms/" xmlns:xsi="http://www.w3.org/2001/XMLSchema-instance" xsi:type="dcterms:W3CDTF">2026-10-10T11:18:35Z</dcterms:modified>
</cp:coreProperties>
</file>